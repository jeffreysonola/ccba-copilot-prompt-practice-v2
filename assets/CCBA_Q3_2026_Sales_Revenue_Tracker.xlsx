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5"/>
  <workbookPr/>
  <mc:AlternateContent xmlns:mc="http://schemas.openxmlformats.org/markup-compatibility/2006">
    <mc:Choice Requires="x15">
      <x15ac:absPath xmlns:x15ac="http://schemas.microsoft.com/office/spreadsheetml/2010/11/ac" url="C:\Users\jsonola\Downloads\"/>
    </mc:Choice>
  </mc:AlternateContent>
  <xr:revisionPtr revIDLastSave="0" documentId="13_ncr:101_{63F27E27-2462-416D-87C8-452C2465D001}" xr6:coauthVersionLast="47" xr6:coauthVersionMax="47" xr10:uidLastSave="{00000000-0000-0000-0000-000000000000}"/>
  <bookViews>
    <workbookView xWindow="-110" yWindow="-110" windowWidth="25180" windowHeight="16140" activeTab="4" xr2:uid="{00000000-000D-0000-FFFF-FFFF00000000}"/>
  </bookViews>
  <sheets>
    <sheet name="README" sheetId="1" r:id="rId1"/>
    <sheet name="Sales_Data" sheetId="2" r:id="rId2"/>
    <sheet name="Outlet_Data" sheetId="3" r:id="rId3"/>
    <sheet name="Data_Dictionary" sheetId="4" r:id="rId4"/>
    <sheet name="Looku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473" i="2" l="1"/>
  <c r="N1473" i="2"/>
  <c r="R1473" i="2" s="1"/>
  <c r="T1472" i="2"/>
  <c r="N1472" i="2"/>
  <c r="R1472" i="2" s="1"/>
  <c r="T1471" i="2"/>
  <c r="N1471" i="2"/>
  <c r="R1471" i="2" s="1"/>
  <c r="T1470" i="2"/>
  <c r="N1470" i="2"/>
  <c r="R1470" i="2" s="1"/>
  <c r="T1469" i="2"/>
  <c r="N1469" i="2"/>
  <c r="R1469" i="2" s="1"/>
  <c r="T1468" i="2"/>
  <c r="N1468" i="2"/>
  <c r="R1468" i="2" s="1"/>
  <c r="T1467" i="2"/>
  <c r="N1467" i="2"/>
  <c r="R1467" i="2" s="1"/>
  <c r="T1466" i="2"/>
  <c r="N1466" i="2"/>
  <c r="R1466" i="2" s="1"/>
  <c r="T1465" i="2"/>
  <c r="N1465" i="2"/>
  <c r="R1465" i="2" s="1"/>
  <c r="T1464" i="2"/>
  <c r="N1464" i="2"/>
  <c r="R1464" i="2" s="1"/>
  <c r="T1463" i="2"/>
  <c r="N1463" i="2"/>
  <c r="R1463" i="2" s="1"/>
  <c r="T1462" i="2"/>
  <c r="N1462" i="2"/>
  <c r="R1462" i="2" s="1"/>
  <c r="T1461" i="2"/>
  <c r="N1461" i="2"/>
  <c r="R1461" i="2" s="1"/>
  <c r="T1460" i="2"/>
  <c r="N1460" i="2"/>
  <c r="R1460" i="2" s="1"/>
  <c r="T1459" i="2"/>
  <c r="N1459" i="2"/>
  <c r="R1459" i="2" s="1"/>
  <c r="T1458" i="2"/>
  <c r="N1458" i="2"/>
  <c r="R1458" i="2" s="1"/>
  <c r="T1457" i="2"/>
  <c r="N1457" i="2"/>
  <c r="R1457" i="2" s="1"/>
  <c r="T1456" i="2"/>
  <c r="N1456" i="2"/>
  <c r="R1456" i="2" s="1"/>
  <c r="T1455" i="2"/>
  <c r="N1455" i="2"/>
  <c r="R1455" i="2" s="1"/>
  <c r="T1454" i="2"/>
  <c r="N1454" i="2"/>
  <c r="R1454" i="2" s="1"/>
  <c r="T1453" i="2"/>
  <c r="N1453" i="2"/>
  <c r="R1453" i="2" s="1"/>
  <c r="T1452" i="2"/>
  <c r="N1452" i="2"/>
  <c r="R1452" i="2" s="1"/>
  <c r="T1451" i="2"/>
  <c r="N1451" i="2"/>
  <c r="R1451" i="2" s="1"/>
  <c r="T1450" i="2"/>
  <c r="N1450" i="2"/>
  <c r="R1450" i="2" s="1"/>
  <c r="T1449" i="2"/>
  <c r="N1449" i="2"/>
  <c r="R1449" i="2" s="1"/>
  <c r="T1448" i="2"/>
  <c r="N1448" i="2"/>
  <c r="R1448" i="2" s="1"/>
  <c r="T1447" i="2"/>
  <c r="N1447" i="2"/>
  <c r="R1447" i="2" s="1"/>
  <c r="T1446" i="2"/>
  <c r="N1446" i="2"/>
  <c r="R1446" i="2" s="1"/>
  <c r="T1445" i="2"/>
  <c r="N1445" i="2"/>
  <c r="R1445" i="2" s="1"/>
  <c r="T1444" i="2"/>
  <c r="N1444" i="2"/>
  <c r="R1444" i="2" s="1"/>
  <c r="T1443" i="2"/>
  <c r="N1443" i="2"/>
  <c r="R1443" i="2" s="1"/>
  <c r="T1442" i="2"/>
  <c r="N1442" i="2"/>
  <c r="R1442" i="2" s="1"/>
  <c r="T1441" i="2"/>
  <c r="N1441" i="2"/>
  <c r="R1441" i="2" s="1"/>
  <c r="T1440" i="2"/>
  <c r="N1440" i="2"/>
  <c r="R1440" i="2" s="1"/>
  <c r="T1439" i="2"/>
  <c r="N1439" i="2"/>
  <c r="R1439" i="2" s="1"/>
  <c r="T1438" i="2"/>
  <c r="N1438" i="2"/>
  <c r="R1438" i="2" s="1"/>
  <c r="T1437" i="2"/>
  <c r="N1437" i="2"/>
  <c r="R1437" i="2" s="1"/>
  <c r="T1436" i="2"/>
  <c r="N1436" i="2"/>
  <c r="R1436" i="2" s="1"/>
  <c r="T1435" i="2"/>
  <c r="N1435" i="2"/>
  <c r="R1435" i="2" s="1"/>
  <c r="T1434" i="2"/>
  <c r="N1434" i="2"/>
  <c r="R1434" i="2" s="1"/>
  <c r="T1433" i="2"/>
  <c r="N1433" i="2"/>
  <c r="R1433" i="2" s="1"/>
  <c r="T1432" i="2"/>
  <c r="N1432" i="2"/>
  <c r="R1432" i="2" s="1"/>
  <c r="T1431" i="2"/>
  <c r="N1431" i="2"/>
  <c r="R1431" i="2" s="1"/>
  <c r="T1430" i="2"/>
  <c r="N1430" i="2"/>
  <c r="R1430" i="2" s="1"/>
  <c r="T1429" i="2"/>
  <c r="N1429" i="2"/>
  <c r="R1429" i="2" s="1"/>
  <c r="T1428" i="2"/>
  <c r="N1428" i="2"/>
  <c r="R1428" i="2" s="1"/>
  <c r="T1427" i="2"/>
  <c r="N1427" i="2"/>
  <c r="R1427" i="2" s="1"/>
  <c r="T1426" i="2"/>
  <c r="N1426" i="2"/>
  <c r="R1426" i="2" s="1"/>
  <c r="T1425" i="2"/>
  <c r="N1425" i="2"/>
  <c r="R1425" i="2" s="1"/>
  <c r="T1424" i="2"/>
  <c r="N1424" i="2"/>
  <c r="R1424" i="2" s="1"/>
  <c r="T1423" i="2"/>
  <c r="N1423" i="2"/>
  <c r="R1423" i="2" s="1"/>
  <c r="T1422" i="2"/>
  <c r="N1422" i="2"/>
  <c r="R1422" i="2" s="1"/>
  <c r="T1421" i="2"/>
  <c r="N1421" i="2"/>
  <c r="R1421" i="2" s="1"/>
  <c r="T1420" i="2"/>
  <c r="N1420" i="2"/>
  <c r="R1420" i="2" s="1"/>
  <c r="T1419" i="2"/>
  <c r="N1419" i="2"/>
  <c r="R1419" i="2" s="1"/>
  <c r="T1418" i="2"/>
  <c r="N1418" i="2"/>
  <c r="R1418" i="2" s="1"/>
  <c r="T1417" i="2"/>
  <c r="N1417" i="2"/>
  <c r="R1417" i="2" s="1"/>
  <c r="T1416" i="2"/>
  <c r="N1416" i="2"/>
  <c r="R1416" i="2" s="1"/>
  <c r="T1415" i="2"/>
  <c r="N1415" i="2"/>
  <c r="R1415" i="2" s="1"/>
  <c r="T1414" i="2"/>
  <c r="N1414" i="2"/>
  <c r="R1414" i="2" s="1"/>
  <c r="T1413" i="2"/>
  <c r="N1413" i="2"/>
  <c r="R1413" i="2" s="1"/>
  <c r="T1412" i="2"/>
  <c r="N1412" i="2"/>
  <c r="R1412" i="2" s="1"/>
  <c r="T1411" i="2"/>
  <c r="N1411" i="2"/>
  <c r="R1411" i="2" s="1"/>
  <c r="T1410" i="2"/>
  <c r="N1410" i="2"/>
  <c r="R1410" i="2" s="1"/>
  <c r="T1409" i="2"/>
  <c r="N1409" i="2"/>
  <c r="R1409" i="2" s="1"/>
  <c r="T1408" i="2"/>
  <c r="N1408" i="2"/>
  <c r="R1408" i="2" s="1"/>
  <c r="T1407" i="2"/>
  <c r="N1407" i="2"/>
  <c r="R1407" i="2" s="1"/>
  <c r="T1406" i="2"/>
  <c r="N1406" i="2"/>
  <c r="R1406" i="2" s="1"/>
  <c r="T1405" i="2"/>
  <c r="N1405" i="2"/>
  <c r="R1405" i="2" s="1"/>
  <c r="T1404" i="2"/>
  <c r="N1404" i="2"/>
  <c r="R1404" i="2" s="1"/>
  <c r="T1403" i="2"/>
  <c r="N1403" i="2"/>
  <c r="R1403" i="2" s="1"/>
  <c r="T1402" i="2"/>
  <c r="N1402" i="2"/>
  <c r="R1402" i="2" s="1"/>
  <c r="T1401" i="2"/>
  <c r="N1401" i="2"/>
  <c r="R1401" i="2" s="1"/>
  <c r="T1400" i="2"/>
  <c r="N1400" i="2"/>
  <c r="R1400" i="2" s="1"/>
  <c r="T1399" i="2"/>
  <c r="N1399" i="2"/>
  <c r="R1399" i="2" s="1"/>
  <c r="T1398" i="2"/>
  <c r="N1398" i="2"/>
  <c r="R1398" i="2" s="1"/>
  <c r="T1397" i="2"/>
  <c r="N1397" i="2"/>
  <c r="R1397" i="2" s="1"/>
  <c r="T1396" i="2"/>
  <c r="N1396" i="2"/>
  <c r="R1396" i="2" s="1"/>
  <c r="T1395" i="2"/>
  <c r="N1395" i="2"/>
  <c r="R1395" i="2" s="1"/>
  <c r="T1394" i="2"/>
  <c r="N1394" i="2"/>
  <c r="R1394" i="2" s="1"/>
  <c r="T1393" i="2"/>
  <c r="N1393" i="2"/>
  <c r="R1393" i="2" s="1"/>
  <c r="T1392" i="2"/>
  <c r="N1392" i="2"/>
  <c r="R1392" i="2" s="1"/>
  <c r="T1391" i="2"/>
  <c r="N1391" i="2"/>
  <c r="R1391" i="2" s="1"/>
  <c r="T1390" i="2"/>
  <c r="N1390" i="2"/>
  <c r="R1390" i="2" s="1"/>
  <c r="T1389" i="2"/>
  <c r="N1389" i="2"/>
  <c r="R1389" i="2" s="1"/>
  <c r="T1388" i="2"/>
  <c r="N1388" i="2"/>
  <c r="R1388" i="2" s="1"/>
  <c r="T1387" i="2"/>
  <c r="N1387" i="2"/>
  <c r="R1387" i="2" s="1"/>
  <c r="T1386" i="2"/>
  <c r="N1386" i="2"/>
  <c r="R1386" i="2" s="1"/>
  <c r="T1385" i="2"/>
  <c r="N1385" i="2"/>
  <c r="R1385" i="2" s="1"/>
  <c r="T1384" i="2"/>
  <c r="N1384" i="2"/>
  <c r="R1384" i="2" s="1"/>
  <c r="T1383" i="2"/>
  <c r="N1383" i="2"/>
  <c r="R1383" i="2" s="1"/>
  <c r="T1382" i="2"/>
  <c r="N1382" i="2"/>
  <c r="R1382" i="2" s="1"/>
  <c r="T1381" i="2"/>
  <c r="N1381" i="2"/>
  <c r="R1381" i="2" s="1"/>
  <c r="T1380" i="2"/>
  <c r="N1380" i="2"/>
  <c r="R1380" i="2" s="1"/>
  <c r="T1379" i="2"/>
  <c r="N1379" i="2"/>
  <c r="R1379" i="2" s="1"/>
  <c r="T1378" i="2"/>
  <c r="N1378" i="2"/>
  <c r="R1378" i="2" s="1"/>
  <c r="T1377" i="2"/>
  <c r="N1377" i="2"/>
  <c r="R1377" i="2" s="1"/>
  <c r="T1376" i="2"/>
  <c r="N1376" i="2"/>
  <c r="R1376" i="2" s="1"/>
  <c r="T1375" i="2"/>
  <c r="N1375" i="2"/>
  <c r="R1375" i="2" s="1"/>
  <c r="T1374" i="2"/>
  <c r="N1374" i="2"/>
  <c r="R1374" i="2" s="1"/>
  <c r="T1373" i="2"/>
  <c r="N1373" i="2"/>
  <c r="R1373" i="2" s="1"/>
  <c r="T1372" i="2"/>
  <c r="N1372" i="2"/>
  <c r="R1372" i="2" s="1"/>
  <c r="T1371" i="2"/>
  <c r="N1371" i="2"/>
  <c r="R1371" i="2" s="1"/>
  <c r="T1370" i="2"/>
  <c r="N1370" i="2"/>
  <c r="R1370" i="2" s="1"/>
  <c r="T1369" i="2"/>
  <c r="N1369" i="2"/>
  <c r="R1369" i="2" s="1"/>
  <c r="T1368" i="2"/>
  <c r="N1368" i="2"/>
  <c r="R1368" i="2" s="1"/>
  <c r="T1367" i="2"/>
  <c r="N1367" i="2"/>
  <c r="R1367" i="2" s="1"/>
  <c r="T1366" i="2"/>
  <c r="N1366" i="2"/>
  <c r="R1366" i="2" s="1"/>
  <c r="T1365" i="2"/>
  <c r="N1365" i="2"/>
  <c r="R1365" i="2" s="1"/>
  <c r="T1364" i="2"/>
  <c r="N1364" i="2"/>
  <c r="R1364" i="2" s="1"/>
  <c r="T1363" i="2"/>
  <c r="N1363" i="2"/>
  <c r="R1363" i="2" s="1"/>
  <c r="T1362" i="2"/>
  <c r="N1362" i="2"/>
  <c r="R1362" i="2" s="1"/>
  <c r="T1361" i="2"/>
  <c r="N1361" i="2"/>
  <c r="R1361" i="2" s="1"/>
  <c r="T1360" i="2"/>
  <c r="N1360" i="2"/>
  <c r="R1360" i="2" s="1"/>
  <c r="T1359" i="2"/>
  <c r="N1359" i="2"/>
  <c r="R1359" i="2" s="1"/>
  <c r="T1358" i="2"/>
  <c r="N1358" i="2"/>
  <c r="R1358" i="2" s="1"/>
  <c r="T1357" i="2"/>
  <c r="N1357" i="2"/>
  <c r="R1357" i="2" s="1"/>
  <c r="T1356" i="2"/>
  <c r="N1356" i="2"/>
  <c r="R1356" i="2" s="1"/>
  <c r="T1355" i="2"/>
  <c r="N1355" i="2"/>
  <c r="R1355" i="2" s="1"/>
  <c r="T1354" i="2"/>
  <c r="N1354" i="2"/>
  <c r="R1354" i="2" s="1"/>
  <c r="T1353" i="2"/>
  <c r="N1353" i="2"/>
  <c r="R1353" i="2" s="1"/>
  <c r="T1352" i="2"/>
  <c r="N1352" i="2"/>
  <c r="R1352" i="2" s="1"/>
  <c r="T1351" i="2"/>
  <c r="R1351" i="2"/>
  <c r="N1351" i="2"/>
  <c r="T1350" i="2"/>
  <c r="N1350" i="2"/>
  <c r="R1350" i="2" s="1"/>
  <c r="T1349" i="2"/>
  <c r="N1349" i="2"/>
  <c r="R1349" i="2" s="1"/>
  <c r="T1348" i="2"/>
  <c r="N1348" i="2"/>
  <c r="R1348" i="2" s="1"/>
  <c r="T1347" i="2"/>
  <c r="N1347" i="2"/>
  <c r="R1347" i="2" s="1"/>
  <c r="T1346" i="2"/>
  <c r="N1346" i="2"/>
  <c r="R1346" i="2" s="1"/>
  <c r="T1345" i="2"/>
  <c r="N1345" i="2"/>
  <c r="R1345" i="2" s="1"/>
  <c r="T1344" i="2"/>
  <c r="N1344" i="2"/>
  <c r="R1344" i="2" s="1"/>
  <c r="T1343" i="2"/>
  <c r="N1343" i="2"/>
  <c r="R1343" i="2" s="1"/>
  <c r="T1342" i="2"/>
  <c r="N1342" i="2"/>
  <c r="R1342" i="2" s="1"/>
  <c r="T1341" i="2"/>
  <c r="N1341" i="2"/>
  <c r="R1341" i="2" s="1"/>
  <c r="T1340" i="2"/>
  <c r="N1340" i="2"/>
  <c r="R1340" i="2" s="1"/>
  <c r="T1339" i="2"/>
  <c r="N1339" i="2"/>
  <c r="R1339" i="2" s="1"/>
  <c r="T1338" i="2"/>
  <c r="N1338" i="2"/>
  <c r="R1338" i="2" s="1"/>
  <c r="T1337" i="2"/>
  <c r="N1337" i="2"/>
  <c r="R1337" i="2" s="1"/>
  <c r="T1336" i="2"/>
  <c r="N1336" i="2"/>
  <c r="R1336" i="2" s="1"/>
  <c r="T1335" i="2"/>
  <c r="N1335" i="2"/>
  <c r="R1335" i="2" s="1"/>
  <c r="T1334" i="2"/>
  <c r="N1334" i="2"/>
  <c r="R1334" i="2" s="1"/>
  <c r="T1333" i="2"/>
  <c r="N1333" i="2"/>
  <c r="R1333" i="2" s="1"/>
  <c r="T1332" i="2"/>
  <c r="N1332" i="2"/>
  <c r="R1332" i="2" s="1"/>
  <c r="T1331" i="2"/>
  <c r="N1331" i="2"/>
  <c r="R1331" i="2" s="1"/>
  <c r="T1330" i="2"/>
  <c r="N1330" i="2"/>
  <c r="R1330" i="2" s="1"/>
  <c r="T1329" i="2"/>
  <c r="N1329" i="2"/>
  <c r="R1329" i="2" s="1"/>
  <c r="T1328" i="2"/>
  <c r="N1328" i="2"/>
  <c r="R1328" i="2" s="1"/>
  <c r="T1327" i="2"/>
  <c r="N1327" i="2"/>
  <c r="R1327" i="2" s="1"/>
  <c r="T1326" i="2"/>
  <c r="N1326" i="2"/>
  <c r="R1326" i="2" s="1"/>
  <c r="T1325" i="2"/>
  <c r="N1325" i="2"/>
  <c r="R1325" i="2" s="1"/>
  <c r="T1324" i="2"/>
  <c r="N1324" i="2"/>
  <c r="R1324" i="2" s="1"/>
  <c r="T1323" i="2"/>
  <c r="N1323" i="2"/>
  <c r="R1323" i="2" s="1"/>
  <c r="T1322" i="2"/>
  <c r="N1322" i="2"/>
  <c r="R1322" i="2" s="1"/>
  <c r="T1321" i="2"/>
  <c r="N1321" i="2"/>
  <c r="R1321" i="2" s="1"/>
  <c r="T1320" i="2"/>
  <c r="N1320" i="2"/>
  <c r="R1320" i="2" s="1"/>
  <c r="T1319" i="2"/>
  <c r="N1319" i="2"/>
  <c r="R1319" i="2" s="1"/>
  <c r="T1318" i="2"/>
  <c r="N1318" i="2"/>
  <c r="R1318" i="2" s="1"/>
  <c r="T1317" i="2"/>
  <c r="N1317" i="2"/>
  <c r="R1317" i="2" s="1"/>
  <c r="T1316" i="2"/>
  <c r="N1316" i="2"/>
  <c r="R1316" i="2" s="1"/>
  <c r="T1315" i="2"/>
  <c r="N1315" i="2"/>
  <c r="R1315" i="2" s="1"/>
  <c r="T1314" i="2"/>
  <c r="N1314" i="2"/>
  <c r="R1314" i="2" s="1"/>
  <c r="T1313" i="2"/>
  <c r="N1313" i="2"/>
  <c r="R1313" i="2" s="1"/>
  <c r="T1312" i="2"/>
  <c r="N1312" i="2"/>
  <c r="R1312" i="2" s="1"/>
  <c r="T1311" i="2"/>
  <c r="N1311" i="2"/>
  <c r="R1311" i="2" s="1"/>
  <c r="T1310" i="2"/>
  <c r="N1310" i="2"/>
  <c r="R1310" i="2" s="1"/>
  <c r="T1309" i="2"/>
  <c r="N1309" i="2"/>
  <c r="R1309" i="2" s="1"/>
  <c r="T1308" i="2"/>
  <c r="N1308" i="2"/>
  <c r="R1308" i="2" s="1"/>
  <c r="T1307" i="2"/>
  <c r="N1307" i="2"/>
  <c r="R1307" i="2" s="1"/>
  <c r="T1306" i="2"/>
  <c r="N1306" i="2"/>
  <c r="R1306" i="2" s="1"/>
  <c r="T1305" i="2"/>
  <c r="N1305" i="2"/>
  <c r="R1305" i="2" s="1"/>
  <c r="T1304" i="2"/>
  <c r="N1304" i="2"/>
  <c r="R1304" i="2" s="1"/>
  <c r="T1303" i="2"/>
  <c r="N1303" i="2"/>
  <c r="R1303" i="2" s="1"/>
  <c r="T1302" i="2"/>
  <c r="N1302" i="2"/>
  <c r="R1302" i="2" s="1"/>
  <c r="T1301" i="2"/>
  <c r="N1301" i="2"/>
  <c r="R1301" i="2" s="1"/>
  <c r="T1300" i="2"/>
  <c r="N1300" i="2"/>
  <c r="R1300" i="2" s="1"/>
  <c r="T1299" i="2"/>
  <c r="N1299" i="2"/>
  <c r="R1299" i="2" s="1"/>
  <c r="T1298" i="2"/>
  <c r="N1298" i="2"/>
  <c r="R1298" i="2" s="1"/>
  <c r="T1297" i="2"/>
  <c r="N1297" i="2"/>
  <c r="R1297" i="2" s="1"/>
  <c r="T1296" i="2"/>
  <c r="N1296" i="2"/>
  <c r="R1296" i="2" s="1"/>
  <c r="T1295" i="2"/>
  <c r="N1295" i="2"/>
  <c r="R1295" i="2" s="1"/>
  <c r="T1294" i="2"/>
  <c r="N1294" i="2"/>
  <c r="R1294" i="2" s="1"/>
  <c r="T1293" i="2"/>
  <c r="N1293" i="2"/>
  <c r="R1293" i="2" s="1"/>
  <c r="T1292" i="2"/>
  <c r="N1292" i="2"/>
  <c r="R1292" i="2" s="1"/>
  <c r="T1291" i="2"/>
  <c r="N1291" i="2"/>
  <c r="R1291" i="2" s="1"/>
  <c r="T1290" i="2"/>
  <c r="N1290" i="2"/>
  <c r="R1290" i="2" s="1"/>
  <c r="T1289" i="2"/>
  <c r="N1289" i="2"/>
  <c r="R1289" i="2" s="1"/>
  <c r="T1288" i="2"/>
  <c r="N1288" i="2"/>
  <c r="R1288" i="2" s="1"/>
  <c r="T1287" i="2"/>
  <c r="N1287" i="2"/>
  <c r="R1287" i="2" s="1"/>
  <c r="T1286" i="2"/>
  <c r="N1286" i="2"/>
  <c r="R1286" i="2" s="1"/>
  <c r="T1285" i="2"/>
  <c r="N1285" i="2"/>
  <c r="R1285" i="2" s="1"/>
  <c r="T1284" i="2"/>
  <c r="N1284" i="2"/>
  <c r="R1284" i="2" s="1"/>
  <c r="T1283" i="2"/>
  <c r="N1283" i="2"/>
  <c r="R1283" i="2" s="1"/>
  <c r="T1282" i="2"/>
  <c r="N1282" i="2"/>
  <c r="R1282" i="2" s="1"/>
  <c r="T1281" i="2"/>
  <c r="N1281" i="2"/>
  <c r="R1281" i="2" s="1"/>
  <c r="T1280" i="2"/>
  <c r="N1280" i="2"/>
  <c r="R1280" i="2" s="1"/>
  <c r="T1279" i="2"/>
  <c r="N1279" i="2"/>
  <c r="R1279" i="2" s="1"/>
  <c r="T1278" i="2"/>
  <c r="N1278" i="2"/>
  <c r="R1278" i="2" s="1"/>
  <c r="T1277" i="2"/>
  <c r="N1277" i="2"/>
  <c r="R1277" i="2" s="1"/>
  <c r="T1276" i="2"/>
  <c r="N1276" i="2"/>
  <c r="R1276" i="2" s="1"/>
  <c r="T1275" i="2"/>
  <c r="N1275" i="2"/>
  <c r="R1275" i="2" s="1"/>
  <c r="T1274" i="2"/>
  <c r="N1274" i="2"/>
  <c r="R1274" i="2" s="1"/>
  <c r="T1273" i="2"/>
  <c r="N1273" i="2"/>
  <c r="R1273" i="2" s="1"/>
  <c r="T1272" i="2"/>
  <c r="N1272" i="2"/>
  <c r="R1272" i="2" s="1"/>
  <c r="T1271" i="2"/>
  <c r="N1271" i="2"/>
  <c r="R1271" i="2" s="1"/>
  <c r="T1270" i="2"/>
  <c r="N1270" i="2"/>
  <c r="R1270" i="2" s="1"/>
  <c r="T1269" i="2"/>
  <c r="N1269" i="2"/>
  <c r="R1269" i="2" s="1"/>
  <c r="T1268" i="2"/>
  <c r="N1268" i="2"/>
  <c r="R1268" i="2" s="1"/>
  <c r="T1267" i="2"/>
  <c r="N1267" i="2"/>
  <c r="R1267" i="2" s="1"/>
  <c r="T1266" i="2"/>
  <c r="N1266" i="2"/>
  <c r="R1266" i="2" s="1"/>
  <c r="T1265" i="2"/>
  <c r="N1265" i="2"/>
  <c r="R1265" i="2" s="1"/>
  <c r="T1264" i="2"/>
  <c r="N1264" i="2"/>
  <c r="R1264" i="2" s="1"/>
  <c r="T1263" i="2"/>
  <c r="N1263" i="2"/>
  <c r="R1263" i="2" s="1"/>
  <c r="T1262" i="2"/>
  <c r="N1262" i="2"/>
  <c r="R1262" i="2" s="1"/>
  <c r="T1261" i="2"/>
  <c r="N1261" i="2"/>
  <c r="R1261" i="2" s="1"/>
  <c r="T1260" i="2"/>
  <c r="N1260" i="2"/>
  <c r="R1260" i="2" s="1"/>
  <c r="T1259" i="2"/>
  <c r="N1259" i="2"/>
  <c r="R1259" i="2" s="1"/>
  <c r="T1258" i="2"/>
  <c r="N1258" i="2"/>
  <c r="R1258" i="2" s="1"/>
  <c r="T1257" i="2"/>
  <c r="N1257" i="2"/>
  <c r="R1257" i="2" s="1"/>
  <c r="T1256" i="2"/>
  <c r="N1256" i="2"/>
  <c r="R1256" i="2" s="1"/>
  <c r="T1255" i="2"/>
  <c r="N1255" i="2"/>
  <c r="R1255" i="2" s="1"/>
  <c r="T1254" i="2"/>
  <c r="N1254" i="2"/>
  <c r="R1254" i="2" s="1"/>
  <c r="T1253" i="2"/>
  <c r="N1253" i="2"/>
  <c r="R1253" i="2" s="1"/>
  <c r="T1252" i="2"/>
  <c r="N1252" i="2"/>
  <c r="R1252" i="2" s="1"/>
  <c r="T1251" i="2"/>
  <c r="N1251" i="2"/>
  <c r="R1251" i="2" s="1"/>
  <c r="T1250" i="2"/>
  <c r="N1250" i="2"/>
  <c r="R1250" i="2" s="1"/>
  <c r="T1249" i="2"/>
  <c r="N1249" i="2"/>
  <c r="R1249" i="2" s="1"/>
  <c r="T1248" i="2"/>
  <c r="N1248" i="2"/>
  <c r="R1248" i="2" s="1"/>
  <c r="T1247" i="2"/>
  <c r="N1247" i="2"/>
  <c r="R1247" i="2" s="1"/>
  <c r="T1246" i="2"/>
  <c r="N1246" i="2"/>
  <c r="R1246" i="2" s="1"/>
  <c r="T1245" i="2"/>
  <c r="N1245" i="2"/>
  <c r="R1245" i="2" s="1"/>
  <c r="T1244" i="2"/>
  <c r="N1244" i="2"/>
  <c r="R1244" i="2" s="1"/>
  <c r="T1243" i="2"/>
  <c r="N1243" i="2"/>
  <c r="R1243" i="2" s="1"/>
  <c r="T1242" i="2"/>
  <c r="N1242" i="2"/>
  <c r="R1242" i="2" s="1"/>
  <c r="T1241" i="2"/>
  <c r="N1241" i="2"/>
  <c r="R1241" i="2" s="1"/>
  <c r="T1240" i="2"/>
  <c r="N1240" i="2"/>
  <c r="R1240" i="2" s="1"/>
  <c r="T1239" i="2"/>
  <c r="N1239" i="2"/>
  <c r="R1239" i="2" s="1"/>
  <c r="T1238" i="2"/>
  <c r="N1238" i="2"/>
  <c r="R1238" i="2" s="1"/>
  <c r="T1237" i="2"/>
  <c r="N1237" i="2"/>
  <c r="R1237" i="2" s="1"/>
  <c r="T1236" i="2"/>
  <c r="N1236" i="2"/>
  <c r="R1236" i="2" s="1"/>
  <c r="T1235" i="2"/>
  <c r="N1235" i="2"/>
  <c r="R1235" i="2" s="1"/>
  <c r="T1234" i="2"/>
  <c r="N1234" i="2"/>
  <c r="R1234" i="2" s="1"/>
  <c r="T1233" i="2"/>
  <c r="N1233" i="2"/>
  <c r="R1233" i="2" s="1"/>
  <c r="T1232" i="2"/>
  <c r="N1232" i="2"/>
  <c r="R1232" i="2" s="1"/>
  <c r="T1231" i="2"/>
  <c r="N1231" i="2"/>
  <c r="R1231" i="2" s="1"/>
  <c r="T1230" i="2"/>
  <c r="N1230" i="2"/>
  <c r="R1230" i="2" s="1"/>
  <c r="T1229" i="2"/>
  <c r="N1229" i="2"/>
  <c r="R1229" i="2" s="1"/>
  <c r="T1228" i="2"/>
  <c r="R1228" i="2"/>
  <c r="N1228" i="2"/>
  <c r="T1227" i="2"/>
  <c r="N1227" i="2"/>
  <c r="R1227" i="2" s="1"/>
  <c r="T1226" i="2"/>
  <c r="N1226" i="2"/>
  <c r="R1226" i="2" s="1"/>
  <c r="T1225" i="2"/>
  <c r="N1225" i="2"/>
  <c r="R1225" i="2" s="1"/>
  <c r="T1224" i="2"/>
  <c r="N1224" i="2"/>
  <c r="R1224" i="2" s="1"/>
  <c r="T1223" i="2"/>
  <c r="N1223" i="2"/>
  <c r="R1223" i="2" s="1"/>
  <c r="T1222" i="2"/>
  <c r="N1222" i="2"/>
  <c r="R1222" i="2" s="1"/>
  <c r="T1221" i="2"/>
  <c r="N1221" i="2"/>
  <c r="R1221" i="2" s="1"/>
  <c r="T1220" i="2"/>
  <c r="N1220" i="2"/>
  <c r="R1220" i="2" s="1"/>
  <c r="T1219" i="2"/>
  <c r="N1219" i="2"/>
  <c r="R1219" i="2" s="1"/>
  <c r="T1218" i="2"/>
  <c r="N1218" i="2"/>
  <c r="R1218" i="2" s="1"/>
  <c r="T1217" i="2"/>
  <c r="N1217" i="2"/>
  <c r="R1217" i="2" s="1"/>
  <c r="T1216" i="2"/>
  <c r="N1216" i="2"/>
  <c r="R1216" i="2" s="1"/>
  <c r="T1215" i="2"/>
  <c r="N1215" i="2"/>
  <c r="R1215" i="2" s="1"/>
  <c r="T1214" i="2"/>
  <c r="N1214" i="2"/>
  <c r="R1214" i="2" s="1"/>
  <c r="T1213" i="2"/>
  <c r="N1213" i="2"/>
  <c r="R1213" i="2" s="1"/>
  <c r="T1212" i="2"/>
  <c r="N1212" i="2"/>
  <c r="R1212" i="2" s="1"/>
  <c r="T1211" i="2"/>
  <c r="N1211" i="2"/>
  <c r="R1211" i="2" s="1"/>
  <c r="T1210" i="2"/>
  <c r="N1210" i="2"/>
  <c r="R1210" i="2" s="1"/>
  <c r="T1209" i="2"/>
  <c r="N1209" i="2"/>
  <c r="R1209" i="2" s="1"/>
  <c r="T1208" i="2"/>
  <c r="N1208" i="2"/>
  <c r="R1208" i="2" s="1"/>
  <c r="T1207" i="2"/>
  <c r="N1207" i="2"/>
  <c r="R1207" i="2" s="1"/>
  <c r="T1206" i="2"/>
  <c r="N1206" i="2"/>
  <c r="R1206" i="2" s="1"/>
  <c r="T1205" i="2"/>
  <c r="N1205" i="2"/>
  <c r="R1205" i="2" s="1"/>
  <c r="T1204" i="2"/>
  <c r="N1204" i="2"/>
  <c r="R1204" i="2" s="1"/>
  <c r="T1203" i="2"/>
  <c r="N1203" i="2"/>
  <c r="R1203" i="2" s="1"/>
  <c r="T1202" i="2"/>
  <c r="N1202" i="2"/>
  <c r="R1202" i="2" s="1"/>
  <c r="T1201" i="2"/>
  <c r="N1201" i="2"/>
  <c r="R1201" i="2" s="1"/>
  <c r="T1200" i="2"/>
  <c r="N1200" i="2"/>
  <c r="R1200" i="2" s="1"/>
  <c r="T1199" i="2"/>
  <c r="N1199" i="2"/>
  <c r="R1199" i="2" s="1"/>
  <c r="T1198" i="2"/>
  <c r="N1198" i="2"/>
  <c r="R1198" i="2" s="1"/>
  <c r="T1197" i="2"/>
  <c r="N1197" i="2"/>
  <c r="R1197" i="2" s="1"/>
  <c r="T1196" i="2"/>
  <c r="N1196" i="2"/>
  <c r="R1196" i="2" s="1"/>
  <c r="T1195" i="2"/>
  <c r="N1195" i="2"/>
  <c r="R1195" i="2" s="1"/>
  <c r="T1194" i="2"/>
  <c r="N1194" i="2"/>
  <c r="R1194" i="2" s="1"/>
  <c r="T1193" i="2"/>
  <c r="N1193" i="2"/>
  <c r="R1193" i="2" s="1"/>
  <c r="T1192" i="2"/>
  <c r="N1192" i="2"/>
  <c r="R1192" i="2" s="1"/>
  <c r="T1191" i="2"/>
  <c r="N1191" i="2"/>
  <c r="R1191" i="2" s="1"/>
  <c r="T1190" i="2"/>
  <c r="N1190" i="2"/>
  <c r="R1190" i="2" s="1"/>
  <c r="T1189" i="2"/>
  <c r="N1189" i="2"/>
  <c r="R1189" i="2" s="1"/>
  <c r="T1188" i="2"/>
  <c r="N1188" i="2"/>
  <c r="R1188" i="2" s="1"/>
  <c r="T1187" i="2"/>
  <c r="N1187" i="2"/>
  <c r="R1187" i="2" s="1"/>
  <c r="T1186" i="2"/>
  <c r="N1186" i="2"/>
  <c r="R1186" i="2" s="1"/>
  <c r="T1185" i="2"/>
  <c r="N1185" i="2"/>
  <c r="R1185" i="2" s="1"/>
  <c r="T1184" i="2"/>
  <c r="N1184" i="2"/>
  <c r="R1184" i="2" s="1"/>
  <c r="T1183" i="2"/>
  <c r="N1183" i="2"/>
  <c r="R1183" i="2" s="1"/>
  <c r="T1182" i="2"/>
  <c r="N1182" i="2"/>
  <c r="R1182" i="2" s="1"/>
  <c r="T1181" i="2"/>
  <c r="N1181" i="2"/>
  <c r="R1181" i="2" s="1"/>
  <c r="T1180" i="2"/>
  <c r="N1180" i="2"/>
  <c r="R1180" i="2" s="1"/>
  <c r="T1179" i="2"/>
  <c r="N1179" i="2"/>
  <c r="R1179" i="2" s="1"/>
  <c r="T1178" i="2"/>
  <c r="N1178" i="2"/>
  <c r="R1178" i="2" s="1"/>
  <c r="T1177" i="2"/>
  <c r="N1177" i="2"/>
  <c r="R1177" i="2" s="1"/>
  <c r="T1176" i="2"/>
  <c r="N1176" i="2"/>
  <c r="R1176" i="2" s="1"/>
  <c r="T1175" i="2"/>
  <c r="N1175" i="2"/>
  <c r="R1175" i="2" s="1"/>
  <c r="T1174" i="2"/>
  <c r="N1174" i="2"/>
  <c r="R1174" i="2" s="1"/>
  <c r="T1173" i="2"/>
  <c r="N1173" i="2"/>
  <c r="R1173" i="2" s="1"/>
  <c r="T1172" i="2"/>
  <c r="N1172" i="2"/>
  <c r="R1172" i="2" s="1"/>
  <c r="T1171" i="2"/>
  <c r="N1171" i="2"/>
  <c r="R1171" i="2" s="1"/>
  <c r="T1170" i="2"/>
  <c r="N1170" i="2"/>
  <c r="R1170" i="2" s="1"/>
  <c r="T1169" i="2"/>
  <c r="N1169" i="2"/>
  <c r="R1169" i="2" s="1"/>
  <c r="T1168" i="2"/>
  <c r="N1168" i="2"/>
  <c r="R1168" i="2" s="1"/>
  <c r="T1167" i="2"/>
  <c r="N1167" i="2"/>
  <c r="R1167" i="2" s="1"/>
  <c r="T1166" i="2"/>
  <c r="N1166" i="2"/>
  <c r="R1166" i="2" s="1"/>
  <c r="T1165" i="2"/>
  <c r="N1165" i="2"/>
  <c r="R1165" i="2" s="1"/>
  <c r="T1164" i="2"/>
  <c r="N1164" i="2"/>
  <c r="R1164" i="2" s="1"/>
  <c r="T1163" i="2"/>
  <c r="N1163" i="2"/>
  <c r="R1163" i="2" s="1"/>
  <c r="T1162" i="2"/>
  <c r="N1162" i="2"/>
  <c r="R1162" i="2" s="1"/>
  <c r="T1161" i="2"/>
  <c r="N1161" i="2"/>
  <c r="R1161" i="2" s="1"/>
  <c r="T1160" i="2"/>
  <c r="N1160" i="2"/>
  <c r="R1160" i="2" s="1"/>
  <c r="T1159" i="2"/>
  <c r="N1159" i="2"/>
  <c r="R1159" i="2" s="1"/>
  <c r="T1158" i="2"/>
  <c r="N1158" i="2"/>
  <c r="R1158" i="2" s="1"/>
  <c r="T1157" i="2"/>
  <c r="N1157" i="2"/>
  <c r="R1157" i="2" s="1"/>
  <c r="T1156" i="2"/>
  <c r="N1156" i="2"/>
  <c r="R1156" i="2" s="1"/>
  <c r="T1155" i="2"/>
  <c r="N1155" i="2"/>
  <c r="R1155" i="2" s="1"/>
  <c r="T1154" i="2"/>
  <c r="N1154" i="2"/>
  <c r="R1154" i="2" s="1"/>
  <c r="T1153" i="2"/>
  <c r="N1153" i="2"/>
  <c r="R1153" i="2" s="1"/>
  <c r="T1152" i="2"/>
  <c r="N1152" i="2"/>
  <c r="R1152" i="2" s="1"/>
  <c r="T1151" i="2"/>
  <c r="N1151" i="2"/>
  <c r="R1151" i="2" s="1"/>
  <c r="T1150" i="2"/>
  <c r="N1150" i="2"/>
  <c r="R1150" i="2" s="1"/>
  <c r="T1149" i="2"/>
  <c r="N1149" i="2"/>
  <c r="R1149" i="2" s="1"/>
  <c r="T1148" i="2"/>
  <c r="N1148" i="2"/>
  <c r="R1148" i="2" s="1"/>
  <c r="T1147" i="2"/>
  <c r="N1147" i="2"/>
  <c r="R1147" i="2" s="1"/>
  <c r="T1146" i="2"/>
  <c r="N1146" i="2"/>
  <c r="R1146" i="2" s="1"/>
  <c r="T1145" i="2"/>
  <c r="N1145" i="2"/>
  <c r="R1145" i="2" s="1"/>
  <c r="T1144" i="2"/>
  <c r="N1144" i="2"/>
  <c r="R1144" i="2" s="1"/>
  <c r="T1143" i="2"/>
  <c r="N1143" i="2"/>
  <c r="R1143" i="2" s="1"/>
  <c r="T1142" i="2"/>
  <c r="N1142" i="2"/>
  <c r="R1142" i="2" s="1"/>
  <c r="T1141" i="2"/>
  <c r="N1141" i="2"/>
  <c r="R1141" i="2" s="1"/>
  <c r="T1140" i="2"/>
  <c r="N1140" i="2"/>
  <c r="R1140" i="2" s="1"/>
  <c r="T1139" i="2"/>
  <c r="N1139" i="2"/>
  <c r="R1139" i="2" s="1"/>
  <c r="T1138" i="2"/>
  <c r="N1138" i="2"/>
  <c r="R1138" i="2" s="1"/>
  <c r="T1137" i="2"/>
  <c r="N1137" i="2"/>
  <c r="R1137" i="2" s="1"/>
  <c r="T1136" i="2"/>
  <c r="N1136" i="2"/>
  <c r="R1136" i="2" s="1"/>
  <c r="T1135" i="2"/>
  <c r="N1135" i="2"/>
  <c r="R1135" i="2" s="1"/>
  <c r="T1134" i="2"/>
  <c r="N1134" i="2"/>
  <c r="R1134" i="2" s="1"/>
  <c r="T1133" i="2"/>
  <c r="N1133" i="2"/>
  <c r="R1133" i="2" s="1"/>
  <c r="T1132" i="2"/>
  <c r="N1132" i="2"/>
  <c r="R1132" i="2" s="1"/>
  <c r="T1131" i="2"/>
  <c r="N1131" i="2"/>
  <c r="R1131" i="2" s="1"/>
  <c r="T1130" i="2"/>
  <c r="N1130" i="2"/>
  <c r="R1130" i="2" s="1"/>
  <c r="T1129" i="2"/>
  <c r="N1129" i="2"/>
  <c r="R1129" i="2" s="1"/>
  <c r="T1128" i="2"/>
  <c r="N1128" i="2"/>
  <c r="R1128" i="2" s="1"/>
  <c r="T1127" i="2"/>
  <c r="N1127" i="2"/>
  <c r="R1127" i="2" s="1"/>
  <c r="T1126" i="2"/>
  <c r="N1126" i="2"/>
  <c r="R1126" i="2" s="1"/>
  <c r="T1125" i="2"/>
  <c r="N1125" i="2"/>
  <c r="R1125" i="2" s="1"/>
  <c r="T1124" i="2"/>
  <c r="N1124" i="2"/>
  <c r="R1124" i="2" s="1"/>
  <c r="T1123" i="2"/>
  <c r="N1123" i="2"/>
  <c r="R1123" i="2" s="1"/>
  <c r="T1122" i="2"/>
  <c r="N1122" i="2"/>
  <c r="R1122" i="2" s="1"/>
  <c r="T1121" i="2"/>
  <c r="N1121" i="2"/>
  <c r="R1121" i="2" s="1"/>
  <c r="T1120" i="2"/>
  <c r="N1120" i="2"/>
  <c r="R1120" i="2" s="1"/>
  <c r="T1119" i="2"/>
  <c r="N1119" i="2"/>
  <c r="R1119" i="2" s="1"/>
  <c r="T1118" i="2"/>
  <c r="N1118" i="2"/>
  <c r="R1118" i="2" s="1"/>
  <c r="T1117" i="2"/>
  <c r="N1117" i="2"/>
  <c r="R1117" i="2" s="1"/>
  <c r="T1116" i="2"/>
  <c r="N1116" i="2"/>
  <c r="R1116" i="2" s="1"/>
  <c r="T1115" i="2"/>
  <c r="N1115" i="2"/>
  <c r="R1115" i="2" s="1"/>
  <c r="T1114" i="2"/>
  <c r="N1114" i="2"/>
  <c r="R1114" i="2" s="1"/>
  <c r="T1113" i="2"/>
  <c r="N1113" i="2"/>
  <c r="R1113" i="2" s="1"/>
  <c r="T1112" i="2"/>
  <c r="N1112" i="2"/>
  <c r="R1112" i="2" s="1"/>
  <c r="T1111" i="2"/>
  <c r="N1111" i="2"/>
  <c r="R1111" i="2" s="1"/>
  <c r="T1110" i="2"/>
  <c r="N1110" i="2"/>
  <c r="R1110" i="2" s="1"/>
  <c r="T1109" i="2"/>
  <c r="N1109" i="2"/>
  <c r="R1109" i="2" s="1"/>
  <c r="T1108" i="2"/>
  <c r="N1108" i="2"/>
  <c r="R1108" i="2" s="1"/>
  <c r="T1107" i="2"/>
  <c r="N1107" i="2"/>
  <c r="R1107" i="2" s="1"/>
  <c r="T1106" i="2"/>
  <c r="N1106" i="2"/>
  <c r="R1106" i="2" s="1"/>
  <c r="T1105" i="2"/>
  <c r="N1105" i="2"/>
  <c r="R1105" i="2" s="1"/>
  <c r="T1104" i="2"/>
  <c r="N1104" i="2"/>
  <c r="R1104" i="2" s="1"/>
  <c r="T1103" i="2"/>
  <c r="N1103" i="2"/>
  <c r="R1103" i="2" s="1"/>
  <c r="T1102" i="2"/>
  <c r="N1102" i="2"/>
  <c r="R1102" i="2" s="1"/>
  <c r="T1101" i="2"/>
  <c r="N1101" i="2"/>
  <c r="R1101" i="2" s="1"/>
  <c r="T1100" i="2"/>
  <c r="N1100" i="2"/>
  <c r="R1100" i="2" s="1"/>
  <c r="T1099" i="2"/>
  <c r="N1099" i="2"/>
  <c r="R1099" i="2" s="1"/>
  <c r="T1098" i="2"/>
  <c r="N1098" i="2"/>
  <c r="R1098" i="2" s="1"/>
  <c r="T1097" i="2"/>
  <c r="N1097" i="2"/>
  <c r="R1097" i="2" s="1"/>
  <c r="T1096" i="2"/>
  <c r="N1096" i="2"/>
  <c r="R1096" i="2" s="1"/>
  <c r="T1095" i="2"/>
  <c r="N1095" i="2"/>
  <c r="R1095" i="2" s="1"/>
  <c r="T1094" i="2"/>
  <c r="N1094" i="2"/>
  <c r="R1094" i="2" s="1"/>
  <c r="T1093" i="2"/>
  <c r="N1093" i="2"/>
  <c r="R1093" i="2" s="1"/>
  <c r="T1092" i="2"/>
  <c r="N1092" i="2"/>
  <c r="R1092" i="2" s="1"/>
  <c r="T1091" i="2"/>
  <c r="N1091" i="2"/>
  <c r="R1091" i="2" s="1"/>
  <c r="T1090" i="2"/>
  <c r="N1090" i="2"/>
  <c r="R1090" i="2" s="1"/>
  <c r="T1089" i="2"/>
  <c r="N1089" i="2"/>
  <c r="R1089" i="2" s="1"/>
  <c r="T1088" i="2"/>
  <c r="N1088" i="2"/>
  <c r="R1088" i="2" s="1"/>
  <c r="T1087" i="2"/>
  <c r="N1087" i="2"/>
  <c r="R1087" i="2" s="1"/>
  <c r="T1086" i="2"/>
  <c r="N1086" i="2"/>
  <c r="R1086" i="2" s="1"/>
  <c r="T1085" i="2"/>
  <c r="N1085" i="2"/>
  <c r="R1085" i="2" s="1"/>
  <c r="T1084" i="2"/>
  <c r="N1084" i="2"/>
  <c r="R1084" i="2" s="1"/>
  <c r="T1083" i="2"/>
  <c r="N1083" i="2"/>
  <c r="R1083" i="2" s="1"/>
  <c r="T1082" i="2"/>
  <c r="N1082" i="2"/>
  <c r="R1082" i="2" s="1"/>
  <c r="T1081" i="2"/>
  <c r="N1081" i="2"/>
  <c r="R1081" i="2" s="1"/>
  <c r="T1080" i="2"/>
  <c r="N1080" i="2"/>
  <c r="R1080" i="2" s="1"/>
  <c r="T1079" i="2"/>
  <c r="N1079" i="2"/>
  <c r="R1079" i="2" s="1"/>
  <c r="T1078" i="2"/>
  <c r="N1078" i="2"/>
  <c r="R1078" i="2" s="1"/>
  <c r="T1077" i="2"/>
  <c r="N1077" i="2"/>
  <c r="R1077" i="2" s="1"/>
  <c r="T1076" i="2"/>
  <c r="N1076" i="2"/>
  <c r="R1076" i="2" s="1"/>
  <c r="T1075" i="2"/>
  <c r="N1075" i="2"/>
  <c r="R1075" i="2" s="1"/>
  <c r="T1074" i="2"/>
  <c r="N1074" i="2"/>
  <c r="R1074" i="2" s="1"/>
  <c r="T1073" i="2"/>
  <c r="N1073" i="2"/>
  <c r="R1073" i="2" s="1"/>
  <c r="T1072" i="2"/>
  <c r="N1072" i="2"/>
  <c r="R1072" i="2" s="1"/>
  <c r="T1071" i="2"/>
  <c r="N1071" i="2"/>
  <c r="R1071" i="2" s="1"/>
  <c r="T1070" i="2"/>
  <c r="N1070" i="2"/>
  <c r="R1070" i="2" s="1"/>
  <c r="T1069" i="2"/>
  <c r="N1069" i="2"/>
  <c r="R1069" i="2" s="1"/>
  <c r="T1068" i="2"/>
  <c r="N1068" i="2"/>
  <c r="R1068" i="2" s="1"/>
  <c r="T1067" i="2"/>
  <c r="N1067" i="2"/>
  <c r="R1067" i="2" s="1"/>
  <c r="T1066" i="2"/>
  <c r="N1066" i="2"/>
  <c r="R1066" i="2" s="1"/>
  <c r="T1065" i="2"/>
  <c r="N1065" i="2"/>
  <c r="R1065" i="2" s="1"/>
  <c r="T1064" i="2"/>
  <c r="N1064" i="2"/>
  <c r="R1064" i="2" s="1"/>
  <c r="T1063" i="2"/>
  <c r="N1063" i="2"/>
  <c r="R1063" i="2" s="1"/>
  <c r="T1062" i="2"/>
  <c r="N1062" i="2"/>
  <c r="R1062" i="2" s="1"/>
  <c r="T1061" i="2"/>
  <c r="N1061" i="2"/>
  <c r="R1061" i="2" s="1"/>
  <c r="T1060" i="2"/>
  <c r="N1060" i="2"/>
  <c r="R1060" i="2" s="1"/>
  <c r="T1059" i="2"/>
  <c r="N1059" i="2"/>
  <c r="R1059" i="2" s="1"/>
  <c r="T1058" i="2"/>
  <c r="N1058" i="2"/>
  <c r="R1058" i="2" s="1"/>
  <c r="T1057" i="2"/>
  <c r="N1057" i="2"/>
  <c r="R1057" i="2" s="1"/>
  <c r="T1056" i="2"/>
  <c r="N1056" i="2"/>
  <c r="R1056" i="2" s="1"/>
  <c r="T1055" i="2"/>
  <c r="N1055" i="2"/>
  <c r="R1055" i="2" s="1"/>
  <c r="T1054" i="2"/>
  <c r="N1054" i="2"/>
  <c r="R1054" i="2" s="1"/>
  <c r="T1053" i="2"/>
  <c r="N1053" i="2"/>
  <c r="R1053" i="2" s="1"/>
  <c r="T1052" i="2"/>
  <c r="N1052" i="2"/>
  <c r="R1052" i="2" s="1"/>
  <c r="T1051" i="2"/>
  <c r="N1051" i="2"/>
  <c r="R1051" i="2" s="1"/>
  <c r="T1050" i="2"/>
  <c r="N1050" i="2"/>
  <c r="R1050" i="2" s="1"/>
  <c r="T1049" i="2"/>
  <c r="N1049" i="2"/>
  <c r="R1049" i="2" s="1"/>
  <c r="T1048" i="2"/>
  <c r="N1048" i="2"/>
  <c r="R1048" i="2" s="1"/>
  <c r="T1047" i="2"/>
  <c r="N1047" i="2"/>
  <c r="R1047" i="2" s="1"/>
  <c r="T1046" i="2"/>
  <c r="N1046" i="2"/>
  <c r="R1046" i="2" s="1"/>
  <c r="T1045" i="2"/>
  <c r="N1045" i="2"/>
  <c r="R1045" i="2" s="1"/>
  <c r="T1044" i="2"/>
  <c r="N1044" i="2"/>
  <c r="R1044" i="2" s="1"/>
  <c r="T1043" i="2"/>
  <c r="N1043" i="2"/>
  <c r="R1043" i="2" s="1"/>
  <c r="T1042" i="2"/>
  <c r="N1042" i="2"/>
  <c r="R1042" i="2" s="1"/>
  <c r="T1041" i="2"/>
  <c r="N1041" i="2"/>
  <c r="R1041" i="2" s="1"/>
  <c r="T1040" i="2"/>
  <c r="N1040" i="2"/>
  <c r="R1040" i="2" s="1"/>
  <c r="T1039" i="2"/>
  <c r="N1039" i="2"/>
  <c r="R1039" i="2" s="1"/>
  <c r="T1038" i="2"/>
  <c r="N1038" i="2"/>
  <c r="R1038" i="2" s="1"/>
  <c r="T1037" i="2"/>
  <c r="N1037" i="2"/>
  <c r="R1037" i="2" s="1"/>
  <c r="T1036" i="2"/>
  <c r="N1036" i="2"/>
  <c r="R1036" i="2" s="1"/>
  <c r="T1035" i="2"/>
  <c r="N1035" i="2"/>
  <c r="R1035" i="2" s="1"/>
  <c r="T1034" i="2"/>
  <c r="N1034" i="2"/>
  <c r="R1034" i="2" s="1"/>
  <c r="T1033" i="2"/>
  <c r="N1033" i="2"/>
  <c r="R1033" i="2" s="1"/>
  <c r="T1032" i="2"/>
  <c r="N1032" i="2"/>
  <c r="R1032" i="2" s="1"/>
  <c r="T1031" i="2"/>
  <c r="N1031" i="2"/>
  <c r="R1031" i="2" s="1"/>
  <c r="T1030" i="2"/>
  <c r="N1030" i="2"/>
  <c r="R1030" i="2" s="1"/>
  <c r="T1029" i="2"/>
  <c r="N1029" i="2"/>
  <c r="R1029" i="2" s="1"/>
  <c r="T1028" i="2"/>
  <c r="N1028" i="2"/>
  <c r="R1028" i="2" s="1"/>
  <c r="T1027" i="2"/>
  <c r="N1027" i="2"/>
  <c r="R1027" i="2" s="1"/>
  <c r="T1026" i="2"/>
  <c r="N1026" i="2"/>
  <c r="R1026" i="2" s="1"/>
  <c r="T1025" i="2"/>
  <c r="N1025" i="2"/>
  <c r="R1025" i="2" s="1"/>
  <c r="T1024" i="2"/>
  <c r="N1024" i="2"/>
  <c r="R1024" i="2" s="1"/>
  <c r="T1023" i="2"/>
  <c r="N1023" i="2"/>
  <c r="R1023" i="2" s="1"/>
  <c r="T1022" i="2"/>
  <c r="N1022" i="2"/>
  <c r="R1022" i="2" s="1"/>
  <c r="T1021" i="2"/>
  <c r="N1021" i="2"/>
  <c r="R1021" i="2" s="1"/>
  <c r="T1020" i="2"/>
  <c r="N1020" i="2"/>
  <c r="R1020" i="2" s="1"/>
  <c r="T1019" i="2"/>
  <c r="N1019" i="2"/>
  <c r="R1019" i="2" s="1"/>
  <c r="T1018" i="2"/>
  <c r="N1018" i="2"/>
  <c r="R1018" i="2" s="1"/>
  <c r="T1017" i="2"/>
  <c r="N1017" i="2"/>
  <c r="R1017" i="2" s="1"/>
  <c r="T1016" i="2"/>
  <c r="N1016" i="2"/>
  <c r="R1016" i="2" s="1"/>
  <c r="T1015" i="2"/>
  <c r="N1015" i="2"/>
  <c r="R1015" i="2" s="1"/>
  <c r="T1014" i="2"/>
  <c r="N1014" i="2"/>
  <c r="R1014" i="2" s="1"/>
  <c r="T1013" i="2"/>
  <c r="N1013" i="2"/>
  <c r="R1013" i="2" s="1"/>
  <c r="T1012" i="2"/>
  <c r="N1012" i="2"/>
  <c r="R1012" i="2" s="1"/>
  <c r="T1011" i="2"/>
  <c r="N1011" i="2"/>
  <c r="R1011" i="2" s="1"/>
  <c r="T1010" i="2"/>
  <c r="N1010" i="2"/>
  <c r="R1010" i="2" s="1"/>
  <c r="T1009" i="2"/>
  <c r="N1009" i="2"/>
  <c r="R1009" i="2" s="1"/>
  <c r="T1008" i="2"/>
  <c r="N1008" i="2"/>
  <c r="R1008" i="2" s="1"/>
  <c r="T1007" i="2"/>
  <c r="N1007" i="2"/>
  <c r="R1007" i="2" s="1"/>
  <c r="T1006" i="2"/>
  <c r="N1006" i="2"/>
  <c r="R1006" i="2" s="1"/>
  <c r="T1005" i="2"/>
  <c r="N1005" i="2"/>
  <c r="R1005" i="2" s="1"/>
  <c r="T1004" i="2"/>
  <c r="N1004" i="2"/>
  <c r="R1004" i="2" s="1"/>
  <c r="T1003" i="2"/>
  <c r="N1003" i="2"/>
  <c r="R1003" i="2" s="1"/>
  <c r="T1002" i="2"/>
  <c r="N1002" i="2"/>
  <c r="R1002" i="2" s="1"/>
  <c r="T1001" i="2"/>
  <c r="N1001" i="2"/>
  <c r="R1001" i="2" s="1"/>
  <c r="T1000" i="2"/>
  <c r="N1000" i="2"/>
  <c r="R1000" i="2" s="1"/>
  <c r="T999" i="2"/>
  <c r="N999" i="2"/>
  <c r="R999" i="2" s="1"/>
  <c r="T998" i="2"/>
  <c r="N998" i="2"/>
  <c r="R998" i="2" s="1"/>
  <c r="T997" i="2"/>
  <c r="N997" i="2"/>
  <c r="R997" i="2" s="1"/>
  <c r="T996" i="2"/>
  <c r="N996" i="2"/>
  <c r="R996" i="2" s="1"/>
  <c r="T995" i="2"/>
  <c r="N995" i="2"/>
  <c r="R995" i="2" s="1"/>
  <c r="T994" i="2"/>
  <c r="N994" i="2"/>
  <c r="R994" i="2" s="1"/>
  <c r="T993" i="2"/>
  <c r="N993" i="2"/>
  <c r="R993" i="2" s="1"/>
  <c r="T992" i="2"/>
  <c r="R992" i="2"/>
  <c r="N992" i="2"/>
  <c r="T991" i="2"/>
  <c r="N991" i="2"/>
  <c r="R991" i="2" s="1"/>
  <c r="T990" i="2"/>
  <c r="N990" i="2"/>
  <c r="R990" i="2" s="1"/>
  <c r="T989" i="2"/>
  <c r="N989" i="2"/>
  <c r="R989" i="2" s="1"/>
  <c r="T988" i="2"/>
  <c r="N988" i="2"/>
  <c r="R988" i="2" s="1"/>
  <c r="T987" i="2"/>
  <c r="N987" i="2"/>
  <c r="R987" i="2" s="1"/>
  <c r="T986" i="2"/>
  <c r="N986" i="2"/>
  <c r="R986" i="2" s="1"/>
  <c r="T985" i="2"/>
  <c r="N985" i="2"/>
  <c r="R985" i="2" s="1"/>
  <c r="T984" i="2"/>
  <c r="N984" i="2"/>
  <c r="R984" i="2" s="1"/>
  <c r="T983" i="2"/>
  <c r="R983" i="2"/>
  <c r="N983" i="2"/>
  <c r="T982" i="2"/>
  <c r="N982" i="2"/>
  <c r="R982" i="2" s="1"/>
  <c r="T981" i="2"/>
  <c r="N981" i="2"/>
  <c r="R981" i="2" s="1"/>
  <c r="T980" i="2"/>
  <c r="N980" i="2"/>
  <c r="R980" i="2" s="1"/>
  <c r="T979" i="2"/>
  <c r="N979" i="2"/>
  <c r="R979" i="2" s="1"/>
  <c r="T978" i="2"/>
  <c r="N978" i="2"/>
  <c r="R978" i="2" s="1"/>
  <c r="T977" i="2"/>
  <c r="N977" i="2"/>
  <c r="R977" i="2" s="1"/>
  <c r="T976" i="2"/>
  <c r="N976" i="2"/>
  <c r="R976" i="2" s="1"/>
  <c r="T975" i="2"/>
  <c r="N975" i="2"/>
  <c r="R975" i="2" s="1"/>
  <c r="T974" i="2"/>
  <c r="N974" i="2"/>
  <c r="R974" i="2" s="1"/>
  <c r="T973" i="2"/>
  <c r="N973" i="2"/>
  <c r="R973" i="2" s="1"/>
  <c r="T972" i="2"/>
  <c r="N972" i="2"/>
  <c r="R972" i="2" s="1"/>
  <c r="T971" i="2"/>
  <c r="N971" i="2"/>
  <c r="R971" i="2" s="1"/>
  <c r="T970" i="2"/>
  <c r="N970" i="2"/>
  <c r="R970" i="2" s="1"/>
  <c r="T969" i="2"/>
  <c r="N969" i="2"/>
  <c r="R969" i="2" s="1"/>
  <c r="T968" i="2"/>
  <c r="N968" i="2"/>
  <c r="R968" i="2" s="1"/>
  <c r="T967" i="2"/>
  <c r="N967" i="2"/>
  <c r="R967" i="2" s="1"/>
  <c r="T966" i="2"/>
  <c r="N966" i="2"/>
  <c r="R966" i="2" s="1"/>
  <c r="T965" i="2"/>
  <c r="N965" i="2"/>
  <c r="R965" i="2" s="1"/>
  <c r="T964" i="2"/>
  <c r="N964" i="2"/>
  <c r="R964" i="2" s="1"/>
  <c r="T963" i="2"/>
  <c r="N963" i="2"/>
  <c r="R963" i="2" s="1"/>
  <c r="T962" i="2"/>
  <c r="N962" i="2"/>
  <c r="R962" i="2" s="1"/>
  <c r="T961" i="2"/>
  <c r="N961" i="2"/>
  <c r="R961" i="2" s="1"/>
  <c r="T960" i="2"/>
  <c r="N960" i="2"/>
  <c r="R960" i="2" s="1"/>
  <c r="T959" i="2"/>
  <c r="N959" i="2"/>
  <c r="R959" i="2" s="1"/>
  <c r="T958" i="2"/>
  <c r="N958" i="2"/>
  <c r="R958" i="2" s="1"/>
  <c r="T957" i="2"/>
  <c r="N957" i="2"/>
  <c r="R957" i="2" s="1"/>
  <c r="T956" i="2"/>
  <c r="N956" i="2"/>
  <c r="R956" i="2" s="1"/>
  <c r="T955" i="2"/>
  <c r="N955" i="2"/>
  <c r="R955" i="2" s="1"/>
  <c r="T954" i="2"/>
  <c r="N954" i="2"/>
  <c r="R954" i="2" s="1"/>
  <c r="T953" i="2"/>
  <c r="N953" i="2"/>
  <c r="R953" i="2" s="1"/>
  <c r="T952" i="2"/>
  <c r="N952" i="2"/>
  <c r="R952" i="2" s="1"/>
  <c r="T951" i="2"/>
  <c r="N951" i="2"/>
  <c r="R951" i="2" s="1"/>
  <c r="T950" i="2"/>
  <c r="N950" i="2"/>
  <c r="R950" i="2" s="1"/>
  <c r="T949" i="2"/>
  <c r="N949" i="2"/>
  <c r="R949" i="2" s="1"/>
  <c r="T948" i="2"/>
  <c r="N948" i="2"/>
  <c r="R948" i="2" s="1"/>
  <c r="T947" i="2"/>
  <c r="N947" i="2"/>
  <c r="R947" i="2" s="1"/>
  <c r="T946" i="2"/>
  <c r="N946" i="2"/>
  <c r="R946" i="2" s="1"/>
  <c r="T945" i="2"/>
  <c r="N945" i="2"/>
  <c r="R945" i="2" s="1"/>
  <c r="T944" i="2"/>
  <c r="N944" i="2"/>
  <c r="R944" i="2" s="1"/>
  <c r="T943" i="2"/>
  <c r="N943" i="2"/>
  <c r="R943" i="2" s="1"/>
  <c r="T942" i="2"/>
  <c r="N942" i="2"/>
  <c r="R942" i="2" s="1"/>
  <c r="T941" i="2"/>
  <c r="N941" i="2"/>
  <c r="R941" i="2" s="1"/>
  <c r="T940" i="2"/>
  <c r="N940" i="2"/>
  <c r="R940" i="2" s="1"/>
  <c r="T939" i="2"/>
  <c r="N939" i="2"/>
  <c r="R939" i="2" s="1"/>
  <c r="T938" i="2"/>
  <c r="N938" i="2"/>
  <c r="R938" i="2" s="1"/>
  <c r="T937" i="2"/>
  <c r="N937" i="2"/>
  <c r="R937" i="2" s="1"/>
  <c r="T936" i="2"/>
  <c r="N936" i="2"/>
  <c r="R936" i="2" s="1"/>
  <c r="T935" i="2"/>
  <c r="N935" i="2"/>
  <c r="R935" i="2" s="1"/>
  <c r="T934" i="2"/>
  <c r="N934" i="2"/>
  <c r="R934" i="2" s="1"/>
  <c r="T933" i="2"/>
  <c r="N933" i="2"/>
  <c r="R933" i="2" s="1"/>
  <c r="T932" i="2"/>
  <c r="N932" i="2"/>
  <c r="R932" i="2" s="1"/>
  <c r="T931" i="2"/>
  <c r="N931" i="2"/>
  <c r="R931" i="2" s="1"/>
  <c r="T930" i="2"/>
  <c r="N930" i="2"/>
  <c r="R930" i="2" s="1"/>
  <c r="T929" i="2"/>
  <c r="N929" i="2"/>
  <c r="R929" i="2" s="1"/>
  <c r="T928" i="2"/>
  <c r="N928" i="2"/>
  <c r="R928" i="2" s="1"/>
  <c r="T927" i="2"/>
  <c r="N927" i="2"/>
  <c r="R927" i="2" s="1"/>
  <c r="T926" i="2"/>
  <c r="N926" i="2"/>
  <c r="R926" i="2" s="1"/>
  <c r="T925" i="2"/>
  <c r="N925" i="2"/>
  <c r="R925" i="2" s="1"/>
  <c r="T924" i="2"/>
  <c r="N924" i="2"/>
  <c r="R924" i="2" s="1"/>
  <c r="T923" i="2"/>
  <c r="N923" i="2"/>
  <c r="R923" i="2" s="1"/>
  <c r="T922" i="2"/>
  <c r="N922" i="2"/>
  <c r="R922" i="2" s="1"/>
  <c r="T921" i="2"/>
  <c r="N921" i="2"/>
  <c r="R921" i="2" s="1"/>
  <c r="T920" i="2"/>
  <c r="N920" i="2"/>
  <c r="R920" i="2" s="1"/>
  <c r="T919" i="2"/>
  <c r="N919" i="2"/>
  <c r="R919" i="2" s="1"/>
  <c r="T918" i="2"/>
  <c r="N918" i="2"/>
  <c r="R918" i="2" s="1"/>
  <c r="T917" i="2"/>
  <c r="N917" i="2"/>
  <c r="R917" i="2" s="1"/>
  <c r="T916" i="2"/>
  <c r="N916" i="2"/>
  <c r="R916" i="2" s="1"/>
  <c r="T915" i="2"/>
  <c r="N915" i="2"/>
  <c r="R915" i="2" s="1"/>
  <c r="T914" i="2"/>
  <c r="N914" i="2"/>
  <c r="R914" i="2" s="1"/>
  <c r="T913" i="2"/>
  <c r="N913" i="2"/>
  <c r="R913" i="2" s="1"/>
  <c r="T912" i="2"/>
  <c r="N912" i="2"/>
  <c r="R912" i="2" s="1"/>
  <c r="T911" i="2"/>
  <c r="N911" i="2"/>
  <c r="R911" i="2" s="1"/>
  <c r="T910" i="2"/>
  <c r="N910" i="2"/>
  <c r="R910" i="2" s="1"/>
  <c r="T909" i="2"/>
  <c r="N909" i="2"/>
  <c r="R909" i="2" s="1"/>
  <c r="T908" i="2"/>
  <c r="N908" i="2"/>
  <c r="R908" i="2" s="1"/>
  <c r="T907" i="2"/>
  <c r="N907" i="2"/>
  <c r="R907" i="2" s="1"/>
  <c r="T906" i="2"/>
  <c r="N906" i="2"/>
  <c r="R906" i="2" s="1"/>
  <c r="T905" i="2"/>
  <c r="N905" i="2"/>
  <c r="R905" i="2" s="1"/>
  <c r="T904" i="2"/>
  <c r="N904" i="2"/>
  <c r="R904" i="2" s="1"/>
  <c r="T903" i="2"/>
  <c r="N903" i="2"/>
  <c r="R903" i="2" s="1"/>
  <c r="T902" i="2"/>
  <c r="N902" i="2"/>
  <c r="R902" i="2" s="1"/>
  <c r="T901" i="2"/>
  <c r="N901" i="2"/>
  <c r="R901" i="2" s="1"/>
  <c r="T900" i="2"/>
  <c r="N900" i="2"/>
  <c r="R900" i="2" s="1"/>
  <c r="T899" i="2"/>
  <c r="N899" i="2"/>
  <c r="R899" i="2" s="1"/>
  <c r="T898" i="2"/>
  <c r="N898" i="2"/>
  <c r="R898" i="2" s="1"/>
  <c r="T897" i="2"/>
  <c r="N897" i="2"/>
  <c r="R897" i="2" s="1"/>
  <c r="T896" i="2"/>
  <c r="N896" i="2"/>
  <c r="R896" i="2" s="1"/>
  <c r="T895" i="2"/>
  <c r="N895" i="2"/>
  <c r="R895" i="2" s="1"/>
  <c r="T894" i="2"/>
  <c r="N894" i="2"/>
  <c r="R894" i="2" s="1"/>
  <c r="T893" i="2"/>
  <c r="N893" i="2"/>
  <c r="R893" i="2" s="1"/>
  <c r="T892" i="2"/>
  <c r="N892" i="2"/>
  <c r="R892" i="2" s="1"/>
  <c r="T891" i="2"/>
  <c r="N891" i="2"/>
  <c r="R891" i="2" s="1"/>
  <c r="T890" i="2"/>
  <c r="N890" i="2"/>
  <c r="R890" i="2" s="1"/>
  <c r="T889" i="2"/>
  <c r="N889" i="2"/>
  <c r="R889" i="2" s="1"/>
  <c r="T888" i="2"/>
  <c r="N888" i="2"/>
  <c r="R888" i="2" s="1"/>
  <c r="T887" i="2"/>
  <c r="N887" i="2"/>
  <c r="R887" i="2" s="1"/>
  <c r="T886" i="2"/>
  <c r="N886" i="2"/>
  <c r="R886" i="2" s="1"/>
  <c r="T885" i="2"/>
  <c r="N885" i="2"/>
  <c r="R885" i="2" s="1"/>
  <c r="T884" i="2"/>
  <c r="N884" i="2"/>
  <c r="R884" i="2" s="1"/>
  <c r="T883" i="2"/>
  <c r="N883" i="2"/>
  <c r="R883" i="2" s="1"/>
  <c r="T882" i="2"/>
  <c r="N882" i="2"/>
  <c r="R882" i="2" s="1"/>
  <c r="T881" i="2"/>
  <c r="N881" i="2"/>
  <c r="R881" i="2" s="1"/>
  <c r="T880" i="2"/>
  <c r="N880" i="2"/>
  <c r="R880" i="2" s="1"/>
  <c r="T879" i="2"/>
  <c r="N879" i="2"/>
  <c r="R879" i="2" s="1"/>
  <c r="T878" i="2"/>
  <c r="N878" i="2"/>
  <c r="R878" i="2" s="1"/>
  <c r="T877" i="2"/>
  <c r="N877" i="2"/>
  <c r="R877" i="2" s="1"/>
  <c r="T876" i="2"/>
  <c r="N876" i="2"/>
  <c r="R876" i="2" s="1"/>
  <c r="T875" i="2"/>
  <c r="N875" i="2"/>
  <c r="R875" i="2" s="1"/>
  <c r="T874" i="2"/>
  <c r="N874" i="2"/>
  <c r="R874" i="2" s="1"/>
  <c r="T873" i="2"/>
  <c r="N873" i="2"/>
  <c r="R873" i="2" s="1"/>
  <c r="T872" i="2"/>
  <c r="N872" i="2"/>
  <c r="R872" i="2" s="1"/>
  <c r="T871" i="2"/>
  <c r="N871" i="2"/>
  <c r="R871" i="2" s="1"/>
  <c r="T870" i="2"/>
  <c r="N870" i="2"/>
  <c r="R870" i="2" s="1"/>
  <c r="T869" i="2"/>
  <c r="N869" i="2"/>
  <c r="R869" i="2" s="1"/>
  <c r="T868" i="2"/>
  <c r="N868" i="2"/>
  <c r="R868" i="2" s="1"/>
  <c r="T867" i="2"/>
  <c r="N867" i="2"/>
  <c r="R867" i="2" s="1"/>
  <c r="T866" i="2"/>
  <c r="N866" i="2"/>
  <c r="R866" i="2" s="1"/>
  <c r="T865" i="2"/>
  <c r="N865" i="2"/>
  <c r="R865" i="2" s="1"/>
  <c r="T864" i="2"/>
  <c r="N864" i="2"/>
  <c r="R864" i="2" s="1"/>
  <c r="T863" i="2"/>
  <c r="N863" i="2"/>
  <c r="R863" i="2" s="1"/>
  <c r="T862" i="2"/>
  <c r="N862" i="2"/>
  <c r="R862" i="2" s="1"/>
  <c r="T861" i="2"/>
  <c r="N861" i="2"/>
  <c r="R861" i="2" s="1"/>
  <c r="T860" i="2"/>
  <c r="N860" i="2"/>
  <c r="R860" i="2" s="1"/>
  <c r="T859" i="2"/>
  <c r="N859" i="2"/>
  <c r="R859" i="2" s="1"/>
  <c r="T858" i="2"/>
  <c r="N858" i="2"/>
  <c r="R858" i="2" s="1"/>
  <c r="T857" i="2"/>
  <c r="N857" i="2"/>
  <c r="R857" i="2" s="1"/>
  <c r="T856" i="2"/>
  <c r="N856" i="2"/>
  <c r="R856" i="2" s="1"/>
  <c r="T855" i="2"/>
  <c r="N855" i="2"/>
  <c r="R855" i="2" s="1"/>
  <c r="T854" i="2"/>
  <c r="N854" i="2"/>
  <c r="R854" i="2" s="1"/>
  <c r="T853" i="2"/>
  <c r="N853" i="2"/>
  <c r="R853" i="2" s="1"/>
  <c r="T852" i="2"/>
  <c r="N852" i="2"/>
  <c r="R852" i="2" s="1"/>
  <c r="T851" i="2"/>
  <c r="N851" i="2"/>
  <c r="R851" i="2" s="1"/>
  <c r="T850" i="2"/>
  <c r="N850" i="2"/>
  <c r="R850" i="2" s="1"/>
  <c r="T849" i="2"/>
  <c r="N849" i="2"/>
  <c r="R849" i="2" s="1"/>
  <c r="T848" i="2"/>
  <c r="N848" i="2"/>
  <c r="R848" i="2" s="1"/>
  <c r="T847" i="2"/>
  <c r="N847" i="2"/>
  <c r="R847" i="2" s="1"/>
  <c r="T846" i="2"/>
  <c r="N846" i="2"/>
  <c r="R846" i="2" s="1"/>
  <c r="T845" i="2"/>
  <c r="N845" i="2"/>
  <c r="R845" i="2" s="1"/>
  <c r="T844" i="2"/>
  <c r="N844" i="2"/>
  <c r="R844" i="2" s="1"/>
  <c r="T843" i="2"/>
  <c r="N843" i="2"/>
  <c r="R843" i="2" s="1"/>
  <c r="T842" i="2"/>
  <c r="N842" i="2"/>
  <c r="R842" i="2" s="1"/>
  <c r="T841" i="2"/>
  <c r="N841" i="2"/>
  <c r="R841" i="2" s="1"/>
  <c r="T840" i="2"/>
  <c r="N840" i="2"/>
  <c r="R840" i="2" s="1"/>
  <c r="T839" i="2"/>
  <c r="N839" i="2"/>
  <c r="R839" i="2" s="1"/>
  <c r="T838" i="2"/>
  <c r="N838" i="2"/>
  <c r="R838" i="2" s="1"/>
  <c r="T837" i="2"/>
  <c r="N837" i="2"/>
  <c r="R837" i="2" s="1"/>
  <c r="T836" i="2"/>
  <c r="N836" i="2"/>
  <c r="R836" i="2" s="1"/>
  <c r="T835" i="2"/>
  <c r="N835" i="2"/>
  <c r="R835" i="2" s="1"/>
  <c r="T834" i="2"/>
  <c r="N834" i="2"/>
  <c r="R834" i="2" s="1"/>
  <c r="T833" i="2"/>
  <c r="N833" i="2"/>
  <c r="R833" i="2" s="1"/>
  <c r="T832" i="2"/>
  <c r="N832" i="2"/>
  <c r="R832" i="2" s="1"/>
  <c r="T831" i="2"/>
  <c r="N831" i="2"/>
  <c r="R831" i="2" s="1"/>
  <c r="T830" i="2"/>
  <c r="N830" i="2"/>
  <c r="R830" i="2" s="1"/>
  <c r="T829" i="2"/>
  <c r="N829" i="2"/>
  <c r="R829" i="2" s="1"/>
  <c r="T828" i="2"/>
  <c r="N828" i="2"/>
  <c r="R828" i="2" s="1"/>
  <c r="T827" i="2"/>
  <c r="N827" i="2"/>
  <c r="R827" i="2" s="1"/>
  <c r="T826" i="2"/>
  <c r="N826" i="2"/>
  <c r="R826" i="2" s="1"/>
  <c r="T825" i="2"/>
  <c r="N825" i="2"/>
  <c r="R825" i="2" s="1"/>
  <c r="T824" i="2"/>
  <c r="N824" i="2"/>
  <c r="R824" i="2" s="1"/>
  <c r="T823" i="2"/>
  <c r="N823" i="2"/>
  <c r="R823" i="2" s="1"/>
  <c r="T822" i="2"/>
  <c r="N822" i="2"/>
  <c r="R822" i="2" s="1"/>
  <c r="T821" i="2"/>
  <c r="N821" i="2"/>
  <c r="R821" i="2" s="1"/>
  <c r="T820" i="2"/>
  <c r="N820" i="2"/>
  <c r="R820" i="2" s="1"/>
  <c r="T819" i="2"/>
  <c r="N819" i="2"/>
  <c r="R819" i="2" s="1"/>
  <c r="T818" i="2"/>
  <c r="N818" i="2"/>
  <c r="R818" i="2" s="1"/>
  <c r="T817" i="2"/>
  <c r="N817" i="2"/>
  <c r="R817" i="2" s="1"/>
  <c r="T816" i="2"/>
  <c r="N816" i="2"/>
  <c r="R816" i="2" s="1"/>
  <c r="T815" i="2"/>
  <c r="N815" i="2"/>
  <c r="R815" i="2" s="1"/>
  <c r="T814" i="2"/>
  <c r="N814" i="2"/>
  <c r="R814" i="2" s="1"/>
  <c r="T813" i="2"/>
  <c r="N813" i="2"/>
  <c r="R813" i="2" s="1"/>
  <c r="T812" i="2"/>
  <c r="N812" i="2"/>
  <c r="R812" i="2" s="1"/>
  <c r="T811" i="2"/>
  <c r="N811" i="2"/>
  <c r="R811" i="2" s="1"/>
  <c r="T810" i="2"/>
  <c r="N810" i="2"/>
  <c r="R810" i="2" s="1"/>
  <c r="T809" i="2"/>
  <c r="N809" i="2"/>
  <c r="R809" i="2" s="1"/>
  <c r="T808" i="2"/>
  <c r="N808" i="2"/>
  <c r="R808" i="2" s="1"/>
  <c r="T807" i="2"/>
  <c r="N807" i="2"/>
  <c r="R807" i="2" s="1"/>
  <c r="T806" i="2"/>
  <c r="N806" i="2"/>
  <c r="R806" i="2" s="1"/>
  <c r="T805" i="2"/>
  <c r="N805" i="2"/>
  <c r="R805" i="2" s="1"/>
  <c r="T804" i="2"/>
  <c r="N804" i="2"/>
  <c r="R804" i="2" s="1"/>
  <c r="T803" i="2"/>
  <c r="N803" i="2"/>
  <c r="R803" i="2" s="1"/>
  <c r="T802" i="2"/>
  <c r="N802" i="2"/>
  <c r="R802" i="2" s="1"/>
  <c r="T801" i="2"/>
  <c r="N801" i="2"/>
  <c r="R801" i="2" s="1"/>
  <c r="T800" i="2"/>
  <c r="N800" i="2"/>
  <c r="R800" i="2" s="1"/>
  <c r="T799" i="2"/>
  <c r="N799" i="2"/>
  <c r="R799" i="2" s="1"/>
  <c r="T798" i="2"/>
  <c r="N798" i="2"/>
  <c r="R798" i="2" s="1"/>
  <c r="T797" i="2"/>
  <c r="N797" i="2"/>
  <c r="R797" i="2" s="1"/>
  <c r="T796" i="2"/>
  <c r="N796" i="2"/>
  <c r="R796" i="2" s="1"/>
  <c r="T795" i="2"/>
  <c r="N795" i="2"/>
  <c r="R795" i="2" s="1"/>
  <c r="T794" i="2"/>
  <c r="N794" i="2"/>
  <c r="R794" i="2" s="1"/>
  <c r="T793" i="2"/>
  <c r="N793" i="2"/>
  <c r="R793" i="2" s="1"/>
  <c r="T792" i="2"/>
  <c r="N792" i="2"/>
  <c r="R792" i="2" s="1"/>
  <c r="T791" i="2"/>
  <c r="N791" i="2"/>
  <c r="R791" i="2" s="1"/>
  <c r="T790" i="2"/>
  <c r="N790" i="2"/>
  <c r="R790" i="2" s="1"/>
  <c r="T789" i="2"/>
  <c r="N789" i="2"/>
  <c r="R789" i="2" s="1"/>
  <c r="T788" i="2"/>
  <c r="N788" i="2"/>
  <c r="R788" i="2" s="1"/>
  <c r="T787" i="2"/>
  <c r="N787" i="2"/>
  <c r="R787" i="2" s="1"/>
  <c r="T786" i="2"/>
  <c r="N786" i="2"/>
  <c r="R786" i="2" s="1"/>
  <c r="T785" i="2"/>
  <c r="N785" i="2"/>
  <c r="R785" i="2" s="1"/>
  <c r="T784" i="2"/>
  <c r="N784" i="2"/>
  <c r="R784" i="2" s="1"/>
  <c r="T783" i="2"/>
  <c r="N783" i="2"/>
  <c r="R783" i="2" s="1"/>
  <c r="T782" i="2"/>
  <c r="N782" i="2"/>
  <c r="R782" i="2" s="1"/>
  <c r="T781" i="2"/>
  <c r="N781" i="2"/>
  <c r="R781" i="2" s="1"/>
  <c r="T780" i="2"/>
  <c r="N780" i="2"/>
  <c r="R780" i="2" s="1"/>
  <c r="T779" i="2"/>
  <c r="N779" i="2"/>
  <c r="R779" i="2" s="1"/>
  <c r="T778" i="2"/>
  <c r="N778" i="2"/>
  <c r="R778" i="2" s="1"/>
  <c r="T777" i="2"/>
  <c r="N777" i="2"/>
  <c r="R777" i="2" s="1"/>
  <c r="T776" i="2"/>
  <c r="N776" i="2"/>
  <c r="R776" i="2" s="1"/>
  <c r="T775" i="2"/>
  <c r="N775" i="2"/>
  <c r="R775" i="2" s="1"/>
  <c r="T774" i="2"/>
  <c r="N774" i="2"/>
  <c r="R774" i="2" s="1"/>
  <c r="T773" i="2"/>
  <c r="N773" i="2"/>
  <c r="R773" i="2" s="1"/>
  <c r="T772" i="2"/>
  <c r="N772" i="2"/>
  <c r="R772" i="2" s="1"/>
  <c r="T771" i="2"/>
  <c r="N771" i="2"/>
  <c r="R771" i="2" s="1"/>
  <c r="T770" i="2"/>
  <c r="N770" i="2"/>
  <c r="R770" i="2" s="1"/>
  <c r="T769" i="2"/>
  <c r="N769" i="2"/>
  <c r="R769" i="2" s="1"/>
  <c r="T768" i="2"/>
  <c r="N768" i="2"/>
  <c r="R768" i="2" s="1"/>
  <c r="T767" i="2"/>
  <c r="N767" i="2"/>
  <c r="R767" i="2" s="1"/>
  <c r="T766" i="2"/>
  <c r="N766" i="2"/>
  <c r="R766" i="2" s="1"/>
  <c r="T765" i="2"/>
  <c r="N765" i="2"/>
  <c r="R765" i="2" s="1"/>
  <c r="T764" i="2"/>
  <c r="N764" i="2"/>
  <c r="R764" i="2" s="1"/>
  <c r="T763" i="2"/>
  <c r="N763" i="2"/>
  <c r="R763" i="2" s="1"/>
  <c r="T762" i="2"/>
  <c r="N762" i="2"/>
  <c r="R762" i="2" s="1"/>
  <c r="T761" i="2"/>
  <c r="N761" i="2"/>
  <c r="R761" i="2" s="1"/>
  <c r="T760" i="2"/>
  <c r="N760" i="2"/>
  <c r="R760" i="2" s="1"/>
  <c r="T759" i="2"/>
  <c r="N759" i="2"/>
  <c r="R759" i="2" s="1"/>
  <c r="T758" i="2"/>
  <c r="N758" i="2"/>
  <c r="R758" i="2" s="1"/>
  <c r="T757" i="2"/>
  <c r="N757" i="2"/>
  <c r="R757" i="2" s="1"/>
  <c r="T756" i="2"/>
  <c r="N756" i="2"/>
  <c r="R756" i="2" s="1"/>
  <c r="T755" i="2"/>
  <c r="N755" i="2"/>
  <c r="R755" i="2" s="1"/>
  <c r="T754" i="2"/>
  <c r="N754" i="2"/>
  <c r="R754" i="2" s="1"/>
  <c r="T753" i="2"/>
  <c r="N753" i="2"/>
  <c r="R753" i="2" s="1"/>
  <c r="T752" i="2"/>
  <c r="N752" i="2"/>
  <c r="R752" i="2" s="1"/>
  <c r="T751" i="2"/>
  <c r="N751" i="2"/>
  <c r="R751" i="2" s="1"/>
  <c r="T750" i="2"/>
  <c r="N750" i="2"/>
  <c r="R750" i="2" s="1"/>
  <c r="T749" i="2"/>
  <c r="N749" i="2"/>
  <c r="R749" i="2" s="1"/>
  <c r="T748" i="2"/>
  <c r="N748" i="2"/>
  <c r="R748" i="2" s="1"/>
  <c r="T747" i="2"/>
  <c r="N747" i="2"/>
  <c r="R747" i="2" s="1"/>
  <c r="T746" i="2"/>
  <c r="N746" i="2"/>
  <c r="R746" i="2" s="1"/>
  <c r="T745" i="2"/>
  <c r="N745" i="2"/>
  <c r="R745" i="2" s="1"/>
  <c r="T744" i="2"/>
  <c r="N744" i="2"/>
  <c r="R744" i="2" s="1"/>
  <c r="T743" i="2"/>
  <c r="N743" i="2"/>
  <c r="R743" i="2" s="1"/>
  <c r="T742" i="2"/>
  <c r="N742" i="2"/>
  <c r="R742" i="2" s="1"/>
  <c r="T741" i="2"/>
  <c r="N741" i="2"/>
  <c r="R741" i="2" s="1"/>
  <c r="T740" i="2"/>
  <c r="N740" i="2"/>
  <c r="R740" i="2" s="1"/>
  <c r="T739" i="2"/>
  <c r="N739" i="2"/>
  <c r="R739" i="2" s="1"/>
  <c r="T738" i="2"/>
  <c r="N738" i="2"/>
  <c r="R738" i="2" s="1"/>
  <c r="T737" i="2"/>
  <c r="N737" i="2"/>
  <c r="R737" i="2" s="1"/>
  <c r="T736" i="2"/>
  <c r="N736" i="2"/>
  <c r="R736" i="2" s="1"/>
  <c r="T735" i="2"/>
  <c r="N735" i="2"/>
  <c r="R735" i="2" s="1"/>
  <c r="T734" i="2"/>
  <c r="N734" i="2"/>
  <c r="R734" i="2" s="1"/>
  <c r="T733" i="2"/>
  <c r="N733" i="2"/>
  <c r="R733" i="2" s="1"/>
  <c r="T732" i="2"/>
  <c r="N732" i="2"/>
  <c r="R732" i="2" s="1"/>
  <c r="T731" i="2"/>
  <c r="N731" i="2"/>
  <c r="R731" i="2" s="1"/>
  <c r="T730" i="2"/>
  <c r="N730" i="2"/>
  <c r="R730" i="2" s="1"/>
  <c r="T729" i="2"/>
  <c r="N729" i="2"/>
  <c r="R729" i="2" s="1"/>
  <c r="T728" i="2"/>
  <c r="N728" i="2"/>
  <c r="R728" i="2" s="1"/>
  <c r="T727" i="2"/>
  <c r="N727" i="2"/>
  <c r="R727" i="2" s="1"/>
  <c r="T726" i="2"/>
  <c r="N726" i="2"/>
  <c r="R726" i="2" s="1"/>
  <c r="T725" i="2"/>
  <c r="N725" i="2"/>
  <c r="R725" i="2" s="1"/>
  <c r="T724" i="2"/>
  <c r="N724" i="2"/>
  <c r="R724" i="2" s="1"/>
  <c r="T723" i="2"/>
  <c r="N723" i="2"/>
  <c r="R723" i="2" s="1"/>
  <c r="T722" i="2"/>
  <c r="N722" i="2"/>
  <c r="R722" i="2" s="1"/>
  <c r="T721" i="2"/>
  <c r="N721" i="2"/>
  <c r="R721" i="2" s="1"/>
  <c r="T720" i="2"/>
  <c r="N720" i="2"/>
  <c r="R720" i="2" s="1"/>
  <c r="T719" i="2"/>
  <c r="N719" i="2"/>
  <c r="R719" i="2" s="1"/>
  <c r="T718" i="2"/>
  <c r="N718" i="2"/>
  <c r="R718" i="2" s="1"/>
  <c r="T717" i="2"/>
  <c r="N717" i="2"/>
  <c r="R717" i="2" s="1"/>
  <c r="T716" i="2"/>
  <c r="N716" i="2"/>
  <c r="R716" i="2" s="1"/>
  <c r="T715" i="2"/>
  <c r="N715" i="2"/>
  <c r="R715" i="2" s="1"/>
  <c r="T714" i="2"/>
  <c r="N714" i="2"/>
  <c r="R714" i="2" s="1"/>
  <c r="T713" i="2"/>
  <c r="N713" i="2"/>
  <c r="R713" i="2" s="1"/>
  <c r="T712" i="2"/>
  <c r="N712" i="2"/>
  <c r="R712" i="2" s="1"/>
  <c r="T711" i="2"/>
  <c r="N711" i="2"/>
  <c r="R711" i="2" s="1"/>
  <c r="T710" i="2"/>
  <c r="N710" i="2"/>
  <c r="R710" i="2" s="1"/>
  <c r="T709" i="2"/>
  <c r="N709" i="2"/>
  <c r="R709" i="2" s="1"/>
  <c r="T708" i="2"/>
  <c r="N708" i="2"/>
  <c r="R708" i="2" s="1"/>
  <c r="T707" i="2"/>
  <c r="N707" i="2"/>
  <c r="R707" i="2" s="1"/>
  <c r="T706" i="2"/>
  <c r="N706" i="2"/>
  <c r="R706" i="2" s="1"/>
  <c r="T705" i="2"/>
  <c r="N705" i="2"/>
  <c r="R705" i="2" s="1"/>
  <c r="T704" i="2"/>
  <c r="N704" i="2"/>
  <c r="R704" i="2" s="1"/>
  <c r="T703" i="2"/>
  <c r="N703" i="2"/>
  <c r="R703" i="2" s="1"/>
  <c r="T702" i="2"/>
  <c r="N702" i="2"/>
  <c r="R702" i="2" s="1"/>
  <c r="T701" i="2"/>
  <c r="N701" i="2"/>
  <c r="R701" i="2" s="1"/>
  <c r="T700" i="2"/>
  <c r="N700" i="2"/>
  <c r="R700" i="2" s="1"/>
  <c r="T699" i="2"/>
  <c r="N699" i="2"/>
  <c r="R699" i="2" s="1"/>
  <c r="T698" i="2"/>
  <c r="N698" i="2"/>
  <c r="R698" i="2" s="1"/>
  <c r="T697" i="2"/>
  <c r="N697" i="2"/>
  <c r="R697" i="2" s="1"/>
  <c r="T696" i="2"/>
  <c r="N696" i="2"/>
  <c r="R696" i="2" s="1"/>
  <c r="T695" i="2"/>
  <c r="N695" i="2"/>
  <c r="R695" i="2" s="1"/>
  <c r="T694" i="2"/>
  <c r="N694" i="2"/>
  <c r="R694" i="2" s="1"/>
  <c r="T693" i="2"/>
  <c r="N693" i="2"/>
  <c r="R693" i="2" s="1"/>
  <c r="T692" i="2"/>
  <c r="N692" i="2"/>
  <c r="R692" i="2" s="1"/>
  <c r="T691" i="2"/>
  <c r="N691" i="2"/>
  <c r="R691" i="2" s="1"/>
  <c r="T690" i="2"/>
  <c r="N690" i="2"/>
  <c r="R690" i="2" s="1"/>
  <c r="T689" i="2"/>
  <c r="N689" i="2"/>
  <c r="R689" i="2" s="1"/>
  <c r="T688" i="2"/>
  <c r="N688" i="2"/>
  <c r="R688" i="2" s="1"/>
  <c r="T687" i="2"/>
  <c r="N687" i="2"/>
  <c r="R687" i="2" s="1"/>
  <c r="T686" i="2"/>
  <c r="N686" i="2"/>
  <c r="R686" i="2" s="1"/>
  <c r="T685" i="2"/>
  <c r="N685" i="2"/>
  <c r="R685" i="2" s="1"/>
  <c r="T684" i="2"/>
  <c r="N684" i="2"/>
  <c r="R684" i="2" s="1"/>
  <c r="T683" i="2"/>
  <c r="N683" i="2"/>
  <c r="R683" i="2" s="1"/>
  <c r="T682" i="2"/>
  <c r="N682" i="2"/>
  <c r="R682" i="2" s="1"/>
  <c r="T681" i="2"/>
  <c r="N681" i="2"/>
  <c r="R681" i="2" s="1"/>
  <c r="T680" i="2"/>
  <c r="N680" i="2"/>
  <c r="R680" i="2" s="1"/>
  <c r="T679" i="2"/>
  <c r="N679" i="2"/>
  <c r="R679" i="2" s="1"/>
  <c r="T678" i="2"/>
  <c r="N678" i="2"/>
  <c r="R678" i="2" s="1"/>
  <c r="T677" i="2"/>
  <c r="N677" i="2"/>
  <c r="R677" i="2" s="1"/>
  <c r="T676" i="2"/>
  <c r="N676" i="2"/>
  <c r="R676" i="2" s="1"/>
  <c r="T675" i="2"/>
  <c r="N675" i="2"/>
  <c r="R675" i="2" s="1"/>
  <c r="T674" i="2"/>
  <c r="N674" i="2"/>
  <c r="R674" i="2" s="1"/>
  <c r="T673" i="2"/>
  <c r="N673" i="2"/>
  <c r="R673" i="2" s="1"/>
  <c r="T672" i="2"/>
  <c r="N672" i="2"/>
  <c r="R672" i="2" s="1"/>
  <c r="T671" i="2"/>
  <c r="N671" i="2"/>
  <c r="R671" i="2" s="1"/>
  <c r="T670" i="2"/>
  <c r="N670" i="2"/>
  <c r="R670" i="2" s="1"/>
  <c r="T669" i="2"/>
  <c r="N669" i="2"/>
  <c r="R669" i="2" s="1"/>
  <c r="T668" i="2"/>
  <c r="N668" i="2"/>
  <c r="R668" i="2" s="1"/>
  <c r="T667" i="2"/>
  <c r="N667" i="2"/>
  <c r="R667" i="2" s="1"/>
  <c r="T666" i="2"/>
  <c r="N666" i="2"/>
  <c r="R666" i="2" s="1"/>
  <c r="T665" i="2"/>
  <c r="N665" i="2"/>
  <c r="R665" i="2" s="1"/>
  <c r="T664" i="2"/>
  <c r="N664" i="2"/>
  <c r="R664" i="2" s="1"/>
  <c r="T663" i="2"/>
  <c r="N663" i="2"/>
  <c r="R663" i="2" s="1"/>
  <c r="T662" i="2"/>
  <c r="N662" i="2"/>
  <c r="R662" i="2" s="1"/>
  <c r="T661" i="2"/>
  <c r="N661" i="2"/>
  <c r="R661" i="2" s="1"/>
  <c r="T660" i="2"/>
  <c r="N660" i="2"/>
  <c r="R660" i="2" s="1"/>
  <c r="T659" i="2"/>
  <c r="N659" i="2"/>
  <c r="R659" i="2" s="1"/>
  <c r="T658" i="2"/>
  <c r="N658" i="2"/>
  <c r="R658" i="2" s="1"/>
  <c r="T657" i="2"/>
  <c r="N657" i="2"/>
  <c r="R657" i="2" s="1"/>
  <c r="T656" i="2"/>
  <c r="N656" i="2"/>
  <c r="R656" i="2" s="1"/>
  <c r="T655" i="2"/>
  <c r="N655" i="2"/>
  <c r="R655" i="2" s="1"/>
  <c r="T654" i="2"/>
  <c r="N654" i="2"/>
  <c r="R654" i="2" s="1"/>
  <c r="T653" i="2"/>
  <c r="N653" i="2"/>
  <c r="T652" i="2"/>
  <c r="N652" i="2"/>
  <c r="R652" i="2" s="1"/>
  <c r="T651" i="2"/>
  <c r="N651" i="2"/>
  <c r="R651" i="2" s="1"/>
  <c r="T650" i="2"/>
  <c r="N650" i="2"/>
  <c r="R650" i="2" s="1"/>
  <c r="T649" i="2"/>
  <c r="N649" i="2"/>
  <c r="R649" i="2" s="1"/>
  <c r="T648" i="2"/>
  <c r="N648" i="2"/>
  <c r="R648" i="2" s="1"/>
  <c r="T647" i="2"/>
  <c r="N647" i="2"/>
  <c r="R647" i="2" s="1"/>
  <c r="T646" i="2"/>
  <c r="N646" i="2"/>
  <c r="R646" i="2" s="1"/>
  <c r="T645" i="2"/>
  <c r="N645" i="2"/>
  <c r="R645" i="2" s="1"/>
  <c r="T644" i="2"/>
  <c r="N644" i="2"/>
  <c r="R644" i="2" s="1"/>
  <c r="T643" i="2"/>
  <c r="N643" i="2"/>
  <c r="R643" i="2" s="1"/>
  <c r="T642" i="2"/>
  <c r="N642" i="2"/>
  <c r="R642" i="2" s="1"/>
  <c r="T641" i="2"/>
  <c r="N641" i="2"/>
  <c r="R641" i="2" s="1"/>
  <c r="T640" i="2"/>
  <c r="N640" i="2"/>
  <c r="R640" i="2" s="1"/>
  <c r="T639" i="2"/>
  <c r="N639" i="2"/>
  <c r="R639" i="2" s="1"/>
  <c r="T638" i="2"/>
  <c r="N638" i="2"/>
  <c r="R638" i="2" s="1"/>
  <c r="T637" i="2"/>
  <c r="N637" i="2"/>
  <c r="R637" i="2" s="1"/>
  <c r="T636" i="2"/>
  <c r="N636" i="2"/>
  <c r="R636" i="2" s="1"/>
  <c r="T635" i="2"/>
  <c r="N635" i="2"/>
  <c r="R635" i="2" s="1"/>
  <c r="T634" i="2"/>
  <c r="N634" i="2"/>
  <c r="R634" i="2" s="1"/>
  <c r="T633" i="2"/>
  <c r="N633" i="2"/>
  <c r="R633" i="2" s="1"/>
  <c r="T632" i="2"/>
  <c r="N632" i="2"/>
  <c r="R632" i="2" s="1"/>
  <c r="T631" i="2"/>
  <c r="N631" i="2"/>
  <c r="R631" i="2" s="1"/>
  <c r="T630" i="2"/>
  <c r="N630" i="2"/>
  <c r="R630" i="2" s="1"/>
  <c r="T629" i="2"/>
  <c r="N629" i="2"/>
  <c r="R629" i="2" s="1"/>
  <c r="T628" i="2"/>
  <c r="N628" i="2"/>
  <c r="R628" i="2" s="1"/>
  <c r="T627" i="2"/>
  <c r="N627" i="2"/>
  <c r="R627" i="2" s="1"/>
  <c r="T626" i="2"/>
  <c r="N626" i="2"/>
  <c r="R626" i="2" s="1"/>
  <c r="T625" i="2"/>
  <c r="N625" i="2"/>
  <c r="R625" i="2" s="1"/>
  <c r="T624" i="2"/>
  <c r="N624" i="2"/>
  <c r="R624" i="2" s="1"/>
  <c r="T623" i="2"/>
  <c r="N623" i="2"/>
  <c r="R623" i="2" s="1"/>
  <c r="T622" i="2"/>
  <c r="N622" i="2"/>
  <c r="R622" i="2" s="1"/>
  <c r="T621" i="2"/>
  <c r="N621" i="2"/>
  <c r="R621" i="2" s="1"/>
  <c r="T620" i="2"/>
  <c r="N620" i="2"/>
  <c r="R620" i="2" s="1"/>
  <c r="T619" i="2"/>
  <c r="N619" i="2"/>
  <c r="R619" i="2" s="1"/>
  <c r="T618" i="2"/>
  <c r="N618" i="2"/>
  <c r="R618" i="2" s="1"/>
  <c r="T617" i="2"/>
  <c r="N617" i="2"/>
  <c r="R617" i="2" s="1"/>
  <c r="T616" i="2"/>
  <c r="N616" i="2"/>
  <c r="R616" i="2" s="1"/>
  <c r="T615" i="2"/>
  <c r="N615" i="2"/>
  <c r="R615" i="2" s="1"/>
  <c r="T614" i="2"/>
  <c r="N614" i="2"/>
  <c r="R614" i="2" s="1"/>
  <c r="T613" i="2"/>
  <c r="N613" i="2"/>
  <c r="R613" i="2" s="1"/>
  <c r="T612" i="2"/>
  <c r="N612" i="2"/>
  <c r="R612" i="2" s="1"/>
  <c r="T611" i="2"/>
  <c r="N611" i="2"/>
  <c r="R611" i="2" s="1"/>
  <c r="T610" i="2"/>
  <c r="N610" i="2"/>
  <c r="R610" i="2" s="1"/>
  <c r="T609" i="2"/>
  <c r="N609" i="2"/>
  <c r="R609" i="2" s="1"/>
  <c r="T608" i="2"/>
  <c r="N608" i="2"/>
  <c r="R608" i="2" s="1"/>
  <c r="T607" i="2"/>
  <c r="N607" i="2"/>
  <c r="R607" i="2" s="1"/>
  <c r="T606" i="2"/>
  <c r="N606" i="2"/>
  <c r="R606" i="2" s="1"/>
  <c r="T605" i="2"/>
  <c r="N605" i="2"/>
  <c r="R605" i="2" s="1"/>
  <c r="T604" i="2"/>
  <c r="N604" i="2"/>
  <c r="R604" i="2" s="1"/>
  <c r="T603" i="2"/>
  <c r="N603" i="2"/>
  <c r="R603" i="2" s="1"/>
  <c r="T602" i="2"/>
  <c r="N602" i="2"/>
  <c r="R602" i="2" s="1"/>
  <c r="T601" i="2"/>
  <c r="N601" i="2"/>
  <c r="R601" i="2" s="1"/>
  <c r="T600" i="2"/>
  <c r="N600" i="2"/>
  <c r="R600" i="2" s="1"/>
  <c r="T599" i="2"/>
  <c r="N599" i="2"/>
  <c r="R599" i="2" s="1"/>
  <c r="T598" i="2"/>
  <c r="N598" i="2"/>
  <c r="R598" i="2" s="1"/>
  <c r="T597" i="2"/>
  <c r="N597" i="2"/>
  <c r="R597" i="2" s="1"/>
  <c r="T596" i="2"/>
  <c r="N596" i="2"/>
  <c r="R596" i="2" s="1"/>
  <c r="T595" i="2"/>
  <c r="N595" i="2"/>
  <c r="R595" i="2" s="1"/>
  <c r="T594" i="2"/>
  <c r="N594" i="2"/>
  <c r="R594" i="2" s="1"/>
  <c r="T593" i="2"/>
  <c r="N593" i="2"/>
  <c r="R593" i="2" s="1"/>
  <c r="T592" i="2"/>
  <c r="N592" i="2"/>
  <c r="R592" i="2" s="1"/>
  <c r="T591" i="2"/>
  <c r="N591" i="2"/>
  <c r="R591" i="2" s="1"/>
  <c r="T590" i="2"/>
  <c r="N590" i="2"/>
  <c r="R590" i="2" s="1"/>
  <c r="T589" i="2"/>
  <c r="N589" i="2"/>
  <c r="R589" i="2" s="1"/>
  <c r="T588" i="2"/>
  <c r="N588" i="2"/>
  <c r="R588" i="2" s="1"/>
  <c r="T587" i="2"/>
  <c r="N587" i="2"/>
  <c r="R587" i="2" s="1"/>
  <c r="T586" i="2"/>
  <c r="N586" i="2"/>
  <c r="R586" i="2" s="1"/>
  <c r="T585" i="2"/>
  <c r="N585" i="2"/>
  <c r="R585" i="2" s="1"/>
  <c r="T584" i="2"/>
  <c r="N584" i="2"/>
  <c r="R584" i="2" s="1"/>
  <c r="T583" i="2"/>
  <c r="N583" i="2"/>
  <c r="R583" i="2" s="1"/>
  <c r="T582" i="2"/>
  <c r="N582" i="2"/>
  <c r="R582" i="2" s="1"/>
  <c r="T581" i="2"/>
  <c r="N581" i="2"/>
  <c r="R581" i="2" s="1"/>
  <c r="T580" i="2"/>
  <c r="N580" i="2"/>
  <c r="R580" i="2" s="1"/>
  <c r="T579" i="2"/>
  <c r="N579" i="2"/>
  <c r="R579" i="2" s="1"/>
  <c r="T578" i="2"/>
  <c r="N578" i="2"/>
  <c r="R578" i="2" s="1"/>
  <c r="T577" i="2"/>
  <c r="N577" i="2"/>
  <c r="R577" i="2" s="1"/>
  <c r="T576" i="2"/>
  <c r="N576" i="2"/>
  <c r="R576" i="2" s="1"/>
  <c r="T575" i="2"/>
  <c r="N575" i="2"/>
  <c r="R575" i="2" s="1"/>
  <c r="T574" i="2"/>
  <c r="N574" i="2"/>
  <c r="R574" i="2" s="1"/>
  <c r="T573" i="2"/>
  <c r="N573" i="2"/>
  <c r="R573" i="2" s="1"/>
  <c r="T572" i="2"/>
  <c r="N572" i="2"/>
  <c r="R572" i="2" s="1"/>
  <c r="T571" i="2"/>
  <c r="N571" i="2"/>
  <c r="R571" i="2" s="1"/>
  <c r="T570" i="2"/>
  <c r="N570" i="2"/>
  <c r="R570" i="2" s="1"/>
  <c r="T569" i="2"/>
  <c r="N569" i="2"/>
  <c r="R569" i="2" s="1"/>
  <c r="T568" i="2"/>
  <c r="N568" i="2"/>
  <c r="R568" i="2" s="1"/>
  <c r="T567" i="2"/>
  <c r="N567" i="2"/>
  <c r="R567" i="2" s="1"/>
  <c r="T566" i="2"/>
  <c r="N566" i="2"/>
  <c r="R566" i="2" s="1"/>
  <c r="T565" i="2"/>
  <c r="N565" i="2"/>
  <c r="R565" i="2" s="1"/>
  <c r="T564" i="2"/>
  <c r="N564" i="2"/>
  <c r="R564" i="2" s="1"/>
  <c r="T563" i="2"/>
  <c r="N563" i="2"/>
  <c r="R563" i="2" s="1"/>
  <c r="T562" i="2"/>
  <c r="N562" i="2"/>
  <c r="R562" i="2" s="1"/>
  <c r="T561" i="2"/>
  <c r="N561" i="2"/>
  <c r="R561" i="2" s="1"/>
  <c r="T560" i="2"/>
  <c r="N560" i="2"/>
  <c r="R560" i="2" s="1"/>
  <c r="T559" i="2"/>
  <c r="N559" i="2"/>
  <c r="R559" i="2" s="1"/>
  <c r="T558" i="2"/>
  <c r="N558" i="2"/>
  <c r="R558" i="2" s="1"/>
  <c r="T557" i="2"/>
  <c r="N557" i="2"/>
  <c r="R557" i="2" s="1"/>
  <c r="T556" i="2"/>
  <c r="N556" i="2"/>
  <c r="R556" i="2" s="1"/>
  <c r="T555" i="2"/>
  <c r="N555" i="2"/>
  <c r="R555" i="2" s="1"/>
  <c r="T554" i="2"/>
  <c r="N554" i="2"/>
  <c r="R554" i="2" s="1"/>
  <c r="T553" i="2"/>
  <c r="N553" i="2"/>
  <c r="R553" i="2" s="1"/>
  <c r="T552" i="2"/>
  <c r="N552" i="2"/>
  <c r="R552" i="2" s="1"/>
  <c r="T551" i="2"/>
  <c r="N551" i="2"/>
  <c r="R551" i="2" s="1"/>
  <c r="T550" i="2"/>
  <c r="N550" i="2"/>
  <c r="R550" i="2" s="1"/>
  <c r="T549" i="2"/>
  <c r="N549" i="2"/>
  <c r="R549" i="2" s="1"/>
  <c r="T548" i="2"/>
  <c r="N548" i="2"/>
  <c r="R548" i="2" s="1"/>
  <c r="T547" i="2"/>
  <c r="N547" i="2"/>
  <c r="R547" i="2" s="1"/>
  <c r="T546" i="2"/>
  <c r="N546" i="2"/>
  <c r="R546" i="2" s="1"/>
  <c r="T545" i="2"/>
  <c r="N545" i="2"/>
  <c r="R545" i="2" s="1"/>
  <c r="T544" i="2"/>
  <c r="N544" i="2"/>
  <c r="R544" i="2" s="1"/>
  <c r="T543" i="2"/>
  <c r="N543" i="2"/>
  <c r="R543" i="2" s="1"/>
  <c r="T542" i="2"/>
  <c r="N542" i="2"/>
  <c r="R542" i="2" s="1"/>
  <c r="T541" i="2"/>
  <c r="N541" i="2"/>
  <c r="R541" i="2" s="1"/>
  <c r="T540" i="2"/>
  <c r="N540" i="2"/>
  <c r="R540" i="2" s="1"/>
  <c r="T539" i="2"/>
  <c r="N539" i="2"/>
  <c r="R539" i="2" s="1"/>
  <c r="T538" i="2"/>
  <c r="N538" i="2"/>
  <c r="R538" i="2" s="1"/>
  <c r="T537" i="2"/>
  <c r="N537" i="2"/>
  <c r="R537" i="2" s="1"/>
  <c r="T536" i="2"/>
  <c r="N536" i="2"/>
  <c r="R536" i="2" s="1"/>
  <c r="T535" i="2"/>
  <c r="N535" i="2"/>
  <c r="R535" i="2" s="1"/>
  <c r="T534" i="2"/>
  <c r="N534" i="2"/>
  <c r="R534" i="2" s="1"/>
  <c r="T533" i="2"/>
  <c r="N533" i="2"/>
  <c r="R533" i="2" s="1"/>
  <c r="T532" i="2"/>
  <c r="N532" i="2"/>
  <c r="R532" i="2" s="1"/>
  <c r="T531" i="2"/>
  <c r="N531" i="2"/>
  <c r="R531" i="2" s="1"/>
  <c r="T530" i="2"/>
  <c r="N530" i="2"/>
  <c r="R530" i="2" s="1"/>
  <c r="T529" i="2"/>
  <c r="N529" i="2"/>
  <c r="R529" i="2" s="1"/>
  <c r="T528" i="2"/>
  <c r="N528" i="2"/>
  <c r="R528" i="2" s="1"/>
  <c r="T527" i="2"/>
  <c r="N527" i="2"/>
  <c r="R527" i="2" s="1"/>
  <c r="T526" i="2"/>
  <c r="N526" i="2"/>
  <c r="R526" i="2" s="1"/>
  <c r="T525" i="2"/>
  <c r="N525" i="2"/>
  <c r="R525" i="2" s="1"/>
  <c r="T524" i="2"/>
  <c r="N524" i="2"/>
  <c r="R524" i="2" s="1"/>
  <c r="T523" i="2"/>
  <c r="N523" i="2"/>
  <c r="R523" i="2" s="1"/>
  <c r="T522" i="2"/>
  <c r="N522" i="2"/>
  <c r="R522" i="2" s="1"/>
  <c r="T521" i="2"/>
  <c r="N521" i="2"/>
  <c r="R521" i="2" s="1"/>
  <c r="T520" i="2"/>
  <c r="N520" i="2"/>
  <c r="R520" i="2" s="1"/>
  <c r="T519" i="2"/>
  <c r="N519" i="2"/>
  <c r="R519" i="2" s="1"/>
  <c r="T518" i="2"/>
  <c r="N518" i="2"/>
  <c r="R518" i="2" s="1"/>
  <c r="T517" i="2"/>
  <c r="N517" i="2"/>
  <c r="R517" i="2" s="1"/>
  <c r="T516" i="2"/>
  <c r="N516" i="2"/>
  <c r="R516" i="2" s="1"/>
  <c r="T515" i="2"/>
  <c r="N515" i="2"/>
  <c r="R515" i="2" s="1"/>
  <c r="T514" i="2"/>
  <c r="N514" i="2"/>
  <c r="R514" i="2" s="1"/>
  <c r="T513" i="2"/>
  <c r="N513" i="2"/>
  <c r="R513" i="2" s="1"/>
  <c r="T512" i="2"/>
  <c r="N512" i="2"/>
  <c r="R512" i="2" s="1"/>
  <c r="T511" i="2"/>
  <c r="N511" i="2"/>
  <c r="R511" i="2" s="1"/>
  <c r="T510" i="2"/>
  <c r="N510" i="2"/>
  <c r="R510" i="2" s="1"/>
  <c r="T509" i="2"/>
  <c r="N509" i="2"/>
  <c r="R509" i="2" s="1"/>
  <c r="T508" i="2"/>
  <c r="N508" i="2"/>
  <c r="R508" i="2" s="1"/>
  <c r="T507" i="2"/>
  <c r="N507" i="2"/>
  <c r="R507" i="2" s="1"/>
  <c r="T506" i="2"/>
  <c r="N506" i="2"/>
  <c r="R506" i="2" s="1"/>
  <c r="T505" i="2"/>
  <c r="N505" i="2"/>
  <c r="R505" i="2" s="1"/>
  <c r="T504" i="2"/>
  <c r="N504" i="2"/>
  <c r="R504" i="2" s="1"/>
  <c r="T503" i="2"/>
  <c r="N503" i="2"/>
  <c r="R503" i="2" s="1"/>
  <c r="T502" i="2"/>
  <c r="N502" i="2"/>
  <c r="R502" i="2" s="1"/>
  <c r="T501" i="2"/>
  <c r="N501" i="2"/>
  <c r="R501" i="2" s="1"/>
  <c r="T500" i="2"/>
  <c r="N500" i="2"/>
  <c r="R500" i="2" s="1"/>
  <c r="T499" i="2"/>
  <c r="N499" i="2"/>
  <c r="R499" i="2" s="1"/>
  <c r="T498" i="2"/>
  <c r="N498" i="2"/>
  <c r="R498" i="2" s="1"/>
  <c r="T497" i="2"/>
  <c r="N497" i="2"/>
  <c r="R497" i="2" s="1"/>
  <c r="T496" i="2"/>
  <c r="N496" i="2"/>
  <c r="R496" i="2" s="1"/>
  <c r="T495" i="2"/>
  <c r="N495" i="2"/>
  <c r="R495" i="2" s="1"/>
  <c r="T494" i="2"/>
  <c r="N494" i="2"/>
  <c r="R494" i="2" s="1"/>
  <c r="T493" i="2"/>
  <c r="N493" i="2"/>
  <c r="R493" i="2" s="1"/>
  <c r="T492" i="2"/>
  <c r="R492" i="2"/>
  <c r="N492" i="2"/>
  <c r="T491" i="2"/>
  <c r="N491" i="2"/>
  <c r="R491" i="2" s="1"/>
  <c r="T490" i="2"/>
  <c r="N490" i="2"/>
  <c r="R490" i="2" s="1"/>
  <c r="T489" i="2"/>
  <c r="N489" i="2"/>
  <c r="R489" i="2" s="1"/>
  <c r="T488" i="2"/>
  <c r="N488" i="2"/>
  <c r="R488" i="2" s="1"/>
  <c r="T487" i="2"/>
  <c r="N487" i="2"/>
  <c r="R487" i="2" s="1"/>
  <c r="T486" i="2"/>
  <c r="N486" i="2"/>
  <c r="R486" i="2" s="1"/>
  <c r="T485" i="2"/>
  <c r="N485" i="2"/>
  <c r="R485" i="2" s="1"/>
  <c r="T484" i="2"/>
  <c r="N484" i="2"/>
  <c r="R484" i="2" s="1"/>
  <c r="T483" i="2"/>
  <c r="N483" i="2"/>
  <c r="R483" i="2" s="1"/>
  <c r="T482" i="2"/>
  <c r="N482" i="2"/>
  <c r="R482" i="2" s="1"/>
  <c r="T481" i="2"/>
  <c r="N481" i="2"/>
  <c r="R481" i="2" s="1"/>
  <c r="T480" i="2"/>
  <c r="N480" i="2"/>
  <c r="R480" i="2" s="1"/>
  <c r="T479" i="2"/>
  <c r="N479" i="2"/>
  <c r="R479" i="2" s="1"/>
  <c r="T478" i="2"/>
  <c r="N478" i="2"/>
  <c r="R478" i="2" s="1"/>
  <c r="T477" i="2"/>
  <c r="N477" i="2"/>
  <c r="R477" i="2" s="1"/>
  <c r="T476" i="2"/>
  <c r="N476" i="2"/>
  <c r="R476" i="2" s="1"/>
  <c r="T475" i="2"/>
  <c r="N475" i="2"/>
  <c r="R475" i="2" s="1"/>
  <c r="T474" i="2"/>
  <c r="N474" i="2"/>
  <c r="R474" i="2" s="1"/>
  <c r="T473" i="2"/>
  <c r="N473" i="2"/>
  <c r="R473" i="2" s="1"/>
  <c r="T472" i="2"/>
  <c r="N472" i="2"/>
  <c r="R472" i="2" s="1"/>
  <c r="T471" i="2"/>
  <c r="N471" i="2"/>
  <c r="R471" i="2" s="1"/>
  <c r="T470" i="2"/>
  <c r="N470" i="2"/>
  <c r="R470" i="2" s="1"/>
  <c r="T469" i="2"/>
  <c r="N469" i="2"/>
  <c r="R469" i="2" s="1"/>
  <c r="T468" i="2"/>
  <c r="N468" i="2"/>
  <c r="R468" i="2" s="1"/>
  <c r="T467" i="2"/>
  <c r="N467" i="2"/>
  <c r="R467" i="2" s="1"/>
  <c r="T466" i="2"/>
  <c r="N466" i="2"/>
  <c r="R466" i="2" s="1"/>
  <c r="T465" i="2"/>
  <c r="N465" i="2"/>
  <c r="R465" i="2" s="1"/>
  <c r="T464" i="2"/>
  <c r="N464" i="2"/>
  <c r="R464" i="2" s="1"/>
  <c r="T463" i="2"/>
  <c r="N463" i="2"/>
  <c r="R463" i="2" s="1"/>
  <c r="T462" i="2"/>
  <c r="N462" i="2"/>
  <c r="R462" i="2" s="1"/>
  <c r="T461" i="2"/>
  <c r="N461" i="2"/>
  <c r="R461" i="2" s="1"/>
  <c r="T460" i="2"/>
  <c r="N460" i="2"/>
  <c r="R460" i="2" s="1"/>
  <c r="T459" i="2"/>
  <c r="N459" i="2"/>
  <c r="R459" i="2" s="1"/>
  <c r="T458" i="2"/>
  <c r="N458" i="2"/>
  <c r="R458" i="2" s="1"/>
  <c r="T457" i="2"/>
  <c r="N457" i="2"/>
  <c r="R457" i="2" s="1"/>
  <c r="T456" i="2"/>
  <c r="N456" i="2"/>
  <c r="R456" i="2" s="1"/>
  <c r="T455" i="2"/>
  <c r="N455" i="2"/>
  <c r="R455" i="2" s="1"/>
  <c r="T454" i="2"/>
  <c r="N454" i="2"/>
  <c r="R454" i="2" s="1"/>
  <c r="T453" i="2"/>
  <c r="N453" i="2"/>
  <c r="R453" i="2" s="1"/>
  <c r="T452" i="2"/>
  <c r="N452" i="2"/>
  <c r="R452" i="2" s="1"/>
  <c r="T451" i="2"/>
  <c r="N451" i="2"/>
  <c r="R451" i="2" s="1"/>
  <c r="T450" i="2"/>
  <c r="N450" i="2"/>
  <c r="R450" i="2" s="1"/>
  <c r="T449" i="2"/>
  <c r="N449" i="2"/>
  <c r="R449" i="2" s="1"/>
  <c r="T448" i="2"/>
  <c r="N448" i="2"/>
  <c r="R448" i="2" s="1"/>
  <c r="T447" i="2"/>
  <c r="N447" i="2"/>
  <c r="R447" i="2" s="1"/>
  <c r="T446" i="2"/>
  <c r="N446" i="2"/>
  <c r="R446" i="2" s="1"/>
  <c r="T445" i="2"/>
  <c r="N445" i="2"/>
  <c r="R445" i="2" s="1"/>
  <c r="T444" i="2"/>
  <c r="N444" i="2"/>
  <c r="R444" i="2" s="1"/>
  <c r="T443" i="2"/>
  <c r="N443" i="2"/>
  <c r="R443" i="2" s="1"/>
  <c r="T442" i="2"/>
  <c r="N442" i="2"/>
  <c r="R442" i="2" s="1"/>
  <c r="T441" i="2"/>
  <c r="N441" i="2"/>
  <c r="R441" i="2" s="1"/>
  <c r="T440" i="2"/>
  <c r="N440" i="2"/>
  <c r="R440" i="2" s="1"/>
  <c r="T439" i="2"/>
  <c r="N439" i="2"/>
  <c r="R439" i="2" s="1"/>
  <c r="T438" i="2"/>
  <c r="N438" i="2"/>
  <c r="R438" i="2" s="1"/>
  <c r="T437" i="2"/>
  <c r="N437" i="2"/>
  <c r="R437" i="2" s="1"/>
  <c r="T436" i="2"/>
  <c r="N436" i="2"/>
  <c r="R436" i="2" s="1"/>
  <c r="T435" i="2"/>
  <c r="N435" i="2"/>
  <c r="R435" i="2" s="1"/>
  <c r="T434" i="2"/>
  <c r="N434" i="2"/>
  <c r="R434" i="2" s="1"/>
  <c r="T433" i="2"/>
  <c r="N433" i="2"/>
  <c r="R433" i="2" s="1"/>
  <c r="T432" i="2"/>
  <c r="N432" i="2"/>
  <c r="R432" i="2" s="1"/>
  <c r="T431" i="2"/>
  <c r="N431" i="2"/>
  <c r="R431" i="2" s="1"/>
  <c r="T430" i="2"/>
  <c r="N430" i="2"/>
  <c r="R430" i="2" s="1"/>
  <c r="T429" i="2"/>
  <c r="N429" i="2"/>
  <c r="R429" i="2" s="1"/>
  <c r="T428" i="2"/>
  <c r="N428" i="2"/>
  <c r="R428" i="2" s="1"/>
  <c r="T427" i="2"/>
  <c r="N427" i="2"/>
  <c r="R427" i="2" s="1"/>
  <c r="T426" i="2"/>
  <c r="N426" i="2"/>
  <c r="R426" i="2" s="1"/>
  <c r="T425" i="2"/>
  <c r="N425" i="2"/>
  <c r="R425" i="2" s="1"/>
  <c r="T424" i="2"/>
  <c r="N424" i="2"/>
  <c r="R424" i="2" s="1"/>
  <c r="T423" i="2"/>
  <c r="N423" i="2"/>
  <c r="R423" i="2" s="1"/>
  <c r="T422" i="2"/>
  <c r="N422" i="2"/>
  <c r="R422" i="2" s="1"/>
  <c r="T421" i="2"/>
  <c r="N421" i="2"/>
  <c r="R421" i="2" s="1"/>
  <c r="T420" i="2"/>
  <c r="N420" i="2"/>
  <c r="R420" i="2" s="1"/>
  <c r="T419" i="2"/>
  <c r="N419" i="2"/>
  <c r="R419" i="2" s="1"/>
  <c r="T418" i="2"/>
  <c r="N418" i="2"/>
  <c r="R418" i="2" s="1"/>
  <c r="T417" i="2"/>
  <c r="N417" i="2"/>
  <c r="R417" i="2" s="1"/>
  <c r="T416" i="2"/>
  <c r="N416" i="2"/>
  <c r="R416" i="2" s="1"/>
  <c r="T415" i="2"/>
  <c r="N415" i="2"/>
  <c r="R415" i="2" s="1"/>
  <c r="T414" i="2"/>
  <c r="N414" i="2"/>
  <c r="R414" i="2" s="1"/>
  <c r="T413" i="2"/>
  <c r="N413" i="2"/>
  <c r="R413" i="2" s="1"/>
  <c r="T412" i="2"/>
  <c r="N412" i="2"/>
  <c r="R412" i="2" s="1"/>
  <c r="T411" i="2"/>
  <c r="N411" i="2"/>
  <c r="R411" i="2" s="1"/>
  <c r="T410" i="2"/>
  <c r="N410" i="2"/>
  <c r="R410" i="2" s="1"/>
  <c r="T409" i="2"/>
  <c r="N409" i="2"/>
  <c r="R409" i="2" s="1"/>
  <c r="T408" i="2"/>
  <c r="N408" i="2"/>
  <c r="R408" i="2" s="1"/>
  <c r="T407" i="2"/>
  <c r="N407" i="2"/>
  <c r="R407" i="2" s="1"/>
  <c r="T406" i="2"/>
  <c r="N406" i="2"/>
  <c r="R406" i="2" s="1"/>
  <c r="T405" i="2"/>
  <c r="N405" i="2"/>
  <c r="R405" i="2" s="1"/>
  <c r="T404" i="2"/>
  <c r="N404" i="2"/>
  <c r="R404" i="2" s="1"/>
  <c r="T403" i="2"/>
  <c r="N403" i="2"/>
  <c r="R403" i="2" s="1"/>
  <c r="T402" i="2"/>
  <c r="N402" i="2"/>
  <c r="R402" i="2" s="1"/>
  <c r="T401" i="2"/>
  <c r="N401" i="2"/>
  <c r="R401" i="2" s="1"/>
  <c r="T400" i="2"/>
  <c r="N400" i="2"/>
  <c r="R400" i="2" s="1"/>
  <c r="T399" i="2"/>
  <c r="N399" i="2"/>
  <c r="R399" i="2" s="1"/>
  <c r="T398" i="2"/>
  <c r="N398" i="2"/>
  <c r="R398" i="2" s="1"/>
  <c r="T397" i="2"/>
  <c r="N397" i="2"/>
  <c r="R397" i="2" s="1"/>
  <c r="T396" i="2"/>
  <c r="N396" i="2"/>
  <c r="R396" i="2" s="1"/>
  <c r="T395" i="2"/>
  <c r="N395" i="2"/>
  <c r="R395" i="2" s="1"/>
  <c r="T394" i="2"/>
  <c r="N394" i="2"/>
  <c r="R394" i="2" s="1"/>
  <c r="T393" i="2"/>
  <c r="N393" i="2"/>
  <c r="R393" i="2" s="1"/>
  <c r="T392" i="2"/>
  <c r="N392" i="2"/>
  <c r="R392" i="2" s="1"/>
  <c r="T391" i="2"/>
  <c r="N391" i="2"/>
  <c r="R391" i="2" s="1"/>
  <c r="T390" i="2"/>
  <c r="N390" i="2"/>
  <c r="R390" i="2" s="1"/>
  <c r="T389" i="2"/>
  <c r="N389" i="2"/>
  <c r="R389" i="2" s="1"/>
  <c r="T388" i="2"/>
  <c r="N388" i="2"/>
  <c r="R388" i="2" s="1"/>
  <c r="T387" i="2"/>
  <c r="N387" i="2"/>
  <c r="R387" i="2" s="1"/>
  <c r="T386" i="2"/>
  <c r="N386" i="2"/>
  <c r="R386" i="2" s="1"/>
  <c r="T385" i="2"/>
  <c r="N385" i="2"/>
  <c r="R385" i="2" s="1"/>
  <c r="T384" i="2"/>
  <c r="N384" i="2"/>
  <c r="R384" i="2" s="1"/>
  <c r="T383" i="2"/>
  <c r="N383" i="2"/>
  <c r="R383" i="2" s="1"/>
  <c r="T382" i="2"/>
  <c r="N382" i="2"/>
  <c r="R382" i="2" s="1"/>
  <c r="T381" i="2"/>
  <c r="N381" i="2"/>
  <c r="R381" i="2" s="1"/>
  <c r="T380" i="2"/>
  <c r="N380" i="2"/>
  <c r="R380" i="2" s="1"/>
  <c r="T379" i="2"/>
  <c r="N379" i="2"/>
  <c r="R379" i="2" s="1"/>
  <c r="T378" i="2"/>
  <c r="N378" i="2"/>
  <c r="R378" i="2" s="1"/>
  <c r="T377" i="2"/>
  <c r="N377" i="2"/>
  <c r="R377" i="2" s="1"/>
  <c r="T376" i="2"/>
  <c r="N376" i="2"/>
  <c r="R376" i="2" s="1"/>
  <c r="T375" i="2"/>
  <c r="N375" i="2"/>
  <c r="R375" i="2" s="1"/>
  <c r="T374" i="2"/>
  <c r="N374" i="2"/>
  <c r="R374" i="2" s="1"/>
  <c r="T373" i="2"/>
  <c r="N373" i="2"/>
  <c r="R373" i="2" s="1"/>
  <c r="T372" i="2"/>
  <c r="N372" i="2"/>
  <c r="R372" i="2" s="1"/>
  <c r="T371" i="2"/>
  <c r="N371" i="2"/>
  <c r="R371" i="2" s="1"/>
  <c r="T370" i="2"/>
  <c r="N370" i="2"/>
  <c r="R370" i="2" s="1"/>
  <c r="T369" i="2"/>
  <c r="N369" i="2"/>
  <c r="R369" i="2" s="1"/>
  <c r="T368" i="2"/>
  <c r="N368" i="2"/>
  <c r="R368" i="2" s="1"/>
  <c r="T367" i="2"/>
  <c r="N367" i="2"/>
  <c r="R367" i="2" s="1"/>
  <c r="T366" i="2"/>
  <c r="N366" i="2"/>
  <c r="R366" i="2" s="1"/>
  <c r="T365" i="2"/>
  <c r="N365" i="2"/>
  <c r="R365" i="2" s="1"/>
  <c r="T364" i="2"/>
  <c r="N364" i="2"/>
  <c r="R364" i="2" s="1"/>
  <c r="T363" i="2"/>
  <c r="N363" i="2"/>
  <c r="R363" i="2" s="1"/>
  <c r="T362" i="2"/>
  <c r="N362" i="2"/>
  <c r="R362" i="2" s="1"/>
  <c r="T361" i="2"/>
  <c r="N361" i="2"/>
  <c r="R361" i="2" s="1"/>
  <c r="T360" i="2"/>
  <c r="N360" i="2"/>
  <c r="R360" i="2" s="1"/>
  <c r="T359" i="2"/>
  <c r="N359" i="2"/>
  <c r="R359" i="2" s="1"/>
  <c r="T358" i="2"/>
  <c r="N358" i="2"/>
  <c r="R358" i="2" s="1"/>
  <c r="T357" i="2"/>
  <c r="N357" i="2"/>
  <c r="R357" i="2" s="1"/>
  <c r="T356" i="2"/>
  <c r="N356" i="2"/>
  <c r="R356" i="2" s="1"/>
  <c r="T355" i="2"/>
  <c r="N355" i="2"/>
  <c r="R355" i="2" s="1"/>
  <c r="T354" i="2"/>
  <c r="N354" i="2"/>
  <c r="R354" i="2" s="1"/>
  <c r="T353" i="2"/>
  <c r="N353" i="2"/>
  <c r="R353" i="2" s="1"/>
  <c r="T352" i="2"/>
  <c r="N352" i="2"/>
  <c r="R352" i="2" s="1"/>
  <c r="T351" i="2"/>
  <c r="N351" i="2"/>
  <c r="R351" i="2" s="1"/>
  <c r="T350" i="2"/>
  <c r="N350" i="2"/>
  <c r="R350" i="2" s="1"/>
  <c r="T349" i="2"/>
  <c r="N349" i="2"/>
  <c r="R349" i="2" s="1"/>
  <c r="T348" i="2"/>
  <c r="N348" i="2"/>
  <c r="R348" i="2" s="1"/>
  <c r="T347" i="2"/>
  <c r="N347" i="2"/>
  <c r="R347" i="2" s="1"/>
  <c r="T346" i="2"/>
  <c r="N346" i="2"/>
  <c r="R346" i="2" s="1"/>
  <c r="T345" i="2"/>
  <c r="N345" i="2"/>
  <c r="R345" i="2" s="1"/>
  <c r="T344" i="2"/>
  <c r="N344" i="2"/>
  <c r="R344" i="2" s="1"/>
  <c r="T343" i="2"/>
  <c r="N343" i="2"/>
  <c r="R343" i="2" s="1"/>
  <c r="T342" i="2"/>
  <c r="N342" i="2"/>
  <c r="R342" i="2" s="1"/>
  <c r="T341" i="2"/>
  <c r="N341" i="2"/>
  <c r="R341" i="2" s="1"/>
  <c r="T340" i="2"/>
  <c r="N340" i="2"/>
  <c r="R340" i="2" s="1"/>
  <c r="T339" i="2"/>
  <c r="N339" i="2"/>
  <c r="R339" i="2" s="1"/>
  <c r="T338" i="2"/>
  <c r="N338" i="2"/>
  <c r="R338" i="2" s="1"/>
  <c r="T337" i="2"/>
  <c r="N337" i="2"/>
  <c r="R337" i="2" s="1"/>
  <c r="T336" i="2"/>
  <c r="N336" i="2"/>
  <c r="R336" i="2" s="1"/>
  <c r="T335" i="2"/>
  <c r="N335" i="2"/>
  <c r="R335" i="2" s="1"/>
  <c r="T334" i="2"/>
  <c r="N334" i="2"/>
  <c r="R334" i="2" s="1"/>
  <c r="T333" i="2"/>
  <c r="N333" i="2"/>
  <c r="R333" i="2" s="1"/>
  <c r="T332" i="2"/>
  <c r="N332" i="2"/>
  <c r="R332" i="2" s="1"/>
  <c r="T331" i="2"/>
  <c r="N331" i="2"/>
  <c r="R331" i="2" s="1"/>
  <c r="T330" i="2"/>
  <c r="N330" i="2"/>
  <c r="R330" i="2" s="1"/>
  <c r="T329" i="2"/>
  <c r="N329" i="2"/>
  <c r="R329" i="2" s="1"/>
  <c r="T328" i="2"/>
  <c r="N328" i="2"/>
  <c r="R328" i="2" s="1"/>
  <c r="T327" i="2"/>
  <c r="N327" i="2"/>
  <c r="R327" i="2" s="1"/>
  <c r="T326" i="2"/>
  <c r="N326" i="2"/>
  <c r="R326" i="2" s="1"/>
  <c r="T325" i="2"/>
  <c r="N325" i="2"/>
  <c r="R325" i="2" s="1"/>
  <c r="T324" i="2"/>
  <c r="N324" i="2"/>
  <c r="R324" i="2" s="1"/>
  <c r="T323" i="2"/>
  <c r="N323" i="2"/>
  <c r="R323" i="2" s="1"/>
  <c r="T322" i="2"/>
  <c r="N322" i="2"/>
  <c r="R322" i="2" s="1"/>
  <c r="T321" i="2"/>
  <c r="N321" i="2"/>
  <c r="R321" i="2" s="1"/>
  <c r="T320" i="2"/>
  <c r="N320" i="2"/>
  <c r="R320" i="2" s="1"/>
  <c r="T319" i="2"/>
  <c r="N319" i="2"/>
  <c r="R319" i="2" s="1"/>
  <c r="T318" i="2"/>
  <c r="N318" i="2"/>
  <c r="R318" i="2" s="1"/>
  <c r="T317" i="2"/>
  <c r="N317" i="2"/>
  <c r="R317" i="2" s="1"/>
  <c r="T316" i="2"/>
  <c r="N316" i="2"/>
  <c r="R316" i="2" s="1"/>
  <c r="T315" i="2"/>
  <c r="N315" i="2"/>
  <c r="R315" i="2" s="1"/>
  <c r="T314" i="2"/>
  <c r="N314" i="2"/>
  <c r="R314" i="2" s="1"/>
  <c r="T313" i="2"/>
  <c r="N313" i="2"/>
  <c r="R313" i="2" s="1"/>
  <c r="T312" i="2"/>
  <c r="N312" i="2"/>
  <c r="R312" i="2" s="1"/>
  <c r="T311" i="2"/>
  <c r="N311" i="2"/>
  <c r="R311" i="2" s="1"/>
  <c r="T310" i="2"/>
  <c r="N310" i="2"/>
  <c r="R310" i="2" s="1"/>
  <c r="T309" i="2"/>
  <c r="N309" i="2"/>
  <c r="R309" i="2" s="1"/>
  <c r="T308" i="2"/>
  <c r="N308" i="2"/>
  <c r="R308" i="2" s="1"/>
  <c r="T307" i="2"/>
  <c r="N307" i="2"/>
  <c r="R307" i="2" s="1"/>
  <c r="T306" i="2"/>
  <c r="N306" i="2"/>
  <c r="R306" i="2" s="1"/>
  <c r="T305" i="2"/>
  <c r="N305" i="2"/>
  <c r="R305" i="2" s="1"/>
  <c r="T304" i="2"/>
  <c r="N304" i="2"/>
  <c r="R304" i="2" s="1"/>
  <c r="T303" i="2"/>
  <c r="N303" i="2"/>
  <c r="R303" i="2" s="1"/>
  <c r="T302" i="2"/>
  <c r="N302" i="2"/>
  <c r="R302" i="2" s="1"/>
  <c r="T301" i="2"/>
  <c r="N301" i="2"/>
  <c r="R301" i="2" s="1"/>
  <c r="T300" i="2"/>
  <c r="N300" i="2"/>
  <c r="R300" i="2" s="1"/>
  <c r="T299" i="2"/>
  <c r="N299" i="2"/>
  <c r="R299" i="2" s="1"/>
  <c r="T298" i="2"/>
  <c r="N298" i="2"/>
  <c r="R298" i="2" s="1"/>
  <c r="T297" i="2"/>
  <c r="N297" i="2"/>
  <c r="R297" i="2" s="1"/>
  <c r="T296" i="2"/>
  <c r="N296" i="2"/>
  <c r="R296" i="2" s="1"/>
  <c r="T295" i="2"/>
  <c r="N295" i="2"/>
  <c r="R295" i="2" s="1"/>
  <c r="T294" i="2"/>
  <c r="N294" i="2"/>
  <c r="R294" i="2" s="1"/>
  <c r="T293" i="2"/>
  <c r="N293" i="2"/>
  <c r="R293" i="2" s="1"/>
  <c r="T292" i="2"/>
  <c r="N292" i="2"/>
  <c r="R292" i="2" s="1"/>
  <c r="T291" i="2"/>
  <c r="N291" i="2"/>
  <c r="R291" i="2" s="1"/>
  <c r="T290" i="2"/>
  <c r="N290" i="2"/>
  <c r="R290" i="2" s="1"/>
  <c r="T289" i="2"/>
  <c r="N289" i="2"/>
  <c r="R289" i="2" s="1"/>
  <c r="T288" i="2"/>
  <c r="N288" i="2"/>
  <c r="R288" i="2" s="1"/>
  <c r="T287" i="2"/>
  <c r="N287" i="2"/>
  <c r="R287" i="2" s="1"/>
  <c r="T286" i="2"/>
  <c r="N286" i="2"/>
  <c r="R286" i="2" s="1"/>
  <c r="T285" i="2"/>
  <c r="N285" i="2"/>
  <c r="R285" i="2" s="1"/>
  <c r="T284" i="2"/>
  <c r="N284" i="2"/>
  <c r="R284" i="2" s="1"/>
  <c r="T283" i="2"/>
  <c r="N283" i="2"/>
  <c r="R283" i="2" s="1"/>
  <c r="T282" i="2"/>
  <c r="N282" i="2"/>
  <c r="R282" i="2" s="1"/>
  <c r="T281" i="2"/>
  <c r="N281" i="2"/>
  <c r="R281" i="2" s="1"/>
  <c r="T280" i="2"/>
  <c r="N280" i="2"/>
  <c r="R280" i="2" s="1"/>
  <c r="T279" i="2"/>
  <c r="N279" i="2"/>
  <c r="R279" i="2" s="1"/>
  <c r="T278" i="2"/>
  <c r="N278" i="2"/>
  <c r="R278" i="2" s="1"/>
  <c r="T277" i="2"/>
  <c r="N277" i="2"/>
  <c r="R277" i="2" s="1"/>
  <c r="T276" i="2"/>
  <c r="N276" i="2"/>
  <c r="R276" i="2" s="1"/>
  <c r="T275" i="2"/>
  <c r="N275" i="2"/>
  <c r="R275" i="2" s="1"/>
  <c r="T274" i="2"/>
  <c r="N274" i="2"/>
  <c r="R274" i="2" s="1"/>
  <c r="T273" i="2"/>
  <c r="N273" i="2"/>
  <c r="R273" i="2" s="1"/>
  <c r="T272" i="2"/>
  <c r="N272" i="2"/>
  <c r="R272" i="2" s="1"/>
  <c r="T271" i="2"/>
  <c r="N271" i="2"/>
  <c r="R271" i="2" s="1"/>
  <c r="T270" i="2"/>
  <c r="N270" i="2"/>
  <c r="R270" i="2" s="1"/>
  <c r="T269" i="2"/>
  <c r="N269" i="2"/>
  <c r="R269" i="2" s="1"/>
  <c r="T268" i="2"/>
  <c r="N268" i="2"/>
  <c r="R268" i="2" s="1"/>
  <c r="T267" i="2"/>
  <c r="N267" i="2"/>
  <c r="R267" i="2" s="1"/>
  <c r="T266" i="2"/>
  <c r="N266" i="2"/>
  <c r="R266" i="2" s="1"/>
  <c r="T265" i="2"/>
  <c r="N265" i="2"/>
  <c r="R265" i="2" s="1"/>
  <c r="T264" i="2"/>
  <c r="N264" i="2"/>
  <c r="R264" i="2" s="1"/>
  <c r="T263" i="2"/>
  <c r="N263" i="2"/>
  <c r="R263" i="2" s="1"/>
  <c r="T262" i="2"/>
  <c r="N262" i="2"/>
  <c r="R262" i="2" s="1"/>
  <c r="T261" i="2"/>
  <c r="N261" i="2"/>
  <c r="R261" i="2" s="1"/>
  <c r="T260" i="2"/>
  <c r="N260" i="2"/>
  <c r="R260" i="2" s="1"/>
  <c r="T259" i="2"/>
  <c r="N259" i="2"/>
  <c r="R259" i="2" s="1"/>
  <c r="T258" i="2"/>
  <c r="N258" i="2"/>
  <c r="R258" i="2" s="1"/>
  <c r="T257" i="2"/>
  <c r="N257" i="2"/>
  <c r="R257" i="2" s="1"/>
  <c r="T256" i="2"/>
  <c r="N256" i="2"/>
  <c r="R256" i="2" s="1"/>
  <c r="T255" i="2"/>
  <c r="N255" i="2"/>
  <c r="R255" i="2" s="1"/>
  <c r="T254" i="2"/>
  <c r="N254" i="2"/>
  <c r="R254" i="2" s="1"/>
  <c r="T253" i="2"/>
  <c r="N253" i="2"/>
  <c r="R253" i="2" s="1"/>
  <c r="T252" i="2"/>
  <c r="N252" i="2"/>
  <c r="R252" i="2" s="1"/>
  <c r="T251" i="2"/>
  <c r="N251" i="2"/>
  <c r="R251" i="2" s="1"/>
  <c r="T250" i="2"/>
  <c r="N250" i="2"/>
  <c r="R250" i="2" s="1"/>
  <c r="T249" i="2"/>
  <c r="N249" i="2"/>
  <c r="R249" i="2" s="1"/>
  <c r="T248" i="2"/>
  <c r="N248" i="2"/>
  <c r="R248" i="2" s="1"/>
  <c r="T247" i="2"/>
  <c r="N247" i="2"/>
  <c r="R247" i="2" s="1"/>
  <c r="T246" i="2"/>
  <c r="N246" i="2"/>
  <c r="R246" i="2" s="1"/>
  <c r="T245" i="2"/>
  <c r="N245" i="2"/>
  <c r="R245" i="2" s="1"/>
  <c r="T244" i="2"/>
  <c r="N244" i="2"/>
  <c r="R244" i="2" s="1"/>
  <c r="T243" i="2"/>
  <c r="N243" i="2"/>
  <c r="R243" i="2" s="1"/>
  <c r="T242" i="2"/>
  <c r="N242" i="2"/>
  <c r="R242" i="2" s="1"/>
  <c r="T241" i="2"/>
  <c r="N241" i="2"/>
  <c r="R241" i="2" s="1"/>
  <c r="T240" i="2"/>
  <c r="N240" i="2"/>
  <c r="R240" i="2" s="1"/>
  <c r="T239" i="2"/>
  <c r="N239" i="2"/>
  <c r="R239" i="2" s="1"/>
  <c r="T238" i="2"/>
  <c r="N238" i="2"/>
  <c r="R238" i="2" s="1"/>
  <c r="T237" i="2"/>
  <c r="N237" i="2"/>
  <c r="R237" i="2" s="1"/>
  <c r="T236" i="2"/>
  <c r="N236" i="2"/>
  <c r="R236" i="2" s="1"/>
  <c r="T235" i="2"/>
  <c r="N235" i="2"/>
  <c r="R235" i="2" s="1"/>
  <c r="T234" i="2"/>
  <c r="N234" i="2"/>
  <c r="R234" i="2" s="1"/>
  <c r="T233" i="2"/>
  <c r="N233" i="2"/>
  <c r="R233" i="2" s="1"/>
  <c r="T232" i="2"/>
  <c r="N232" i="2"/>
  <c r="R232" i="2" s="1"/>
  <c r="T231" i="2"/>
  <c r="N231" i="2"/>
  <c r="R231" i="2" s="1"/>
  <c r="T230" i="2"/>
  <c r="N230" i="2"/>
  <c r="R230" i="2" s="1"/>
  <c r="T229" i="2"/>
  <c r="N229" i="2"/>
  <c r="R229" i="2" s="1"/>
  <c r="T228" i="2"/>
  <c r="N228" i="2"/>
  <c r="R228" i="2" s="1"/>
  <c r="T227" i="2"/>
  <c r="N227" i="2"/>
  <c r="R227" i="2" s="1"/>
  <c r="T226" i="2"/>
  <c r="N226" i="2"/>
  <c r="R226" i="2" s="1"/>
  <c r="T225" i="2"/>
  <c r="N225" i="2"/>
  <c r="R225" i="2" s="1"/>
  <c r="T224" i="2"/>
  <c r="N224" i="2"/>
  <c r="R224" i="2" s="1"/>
  <c r="T223" i="2"/>
  <c r="N223" i="2"/>
  <c r="R223" i="2" s="1"/>
  <c r="T222" i="2"/>
  <c r="N222" i="2"/>
  <c r="R222" i="2" s="1"/>
  <c r="T221" i="2"/>
  <c r="N221" i="2"/>
  <c r="R221" i="2" s="1"/>
  <c r="T220" i="2"/>
  <c r="N220" i="2"/>
  <c r="R220" i="2" s="1"/>
  <c r="T219" i="2"/>
  <c r="N219" i="2"/>
  <c r="R219" i="2" s="1"/>
  <c r="T218" i="2"/>
  <c r="N218" i="2"/>
  <c r="R218" i="2" s="1"/>
  <c r="T217" i="2"/>
  <c r="N217" i="2"/>
  <c r="R217" i="2" s="1"/>
  <c r="T216" i="2"/>
  <c r="N216" i="2"/>
  <c r="R216" i="2" s="1"/>
  <c r="T215" i="2"/>
  <c r="N215" i="2"/>
  <c r="R215" i="2" s="1"/>
  <c r="T214" i="2"/>
  <c r="N214" i="2"/>
  <c r="R214" i="2" s="1"/>
  <c r="T213" i="2"/>
  <c r="N213" i="2"/>
  <c r="R213" i="2" s="1"/>
  <c r="T212" i="2"/>
  <c r="N212" i="2"/>
  <c r="R212" i="2" s="1"/>
  <c r="T211" i="2"/>
  <c r="N211" i="2"/>
  <c r="R211" i="2" s="1"/>
  <c r="T210" i="2"/>
  <c r="N210" i="2"/>
  <c r="R210" i="2" s="1"/>
  <c r="T209" i="2"/>
  <c r="N209" i="2"/>
  <c r="R209" i="2" s="1"/>
  <c r="T208" i="2"/>
  <c r="N208" i="2"/>
  <c r="R208" i="2" s="1"/>
  <c r="T207" i="2"/>
  <c r="N207" i="2"/>
  <c r="R207" i="2" s="1"/>
  <c r="T206" i="2"/>
  <c r="N206" i="2"/>
  <c r="R206" i="2" s="1"/>
  <c r="T205" i="2"/>
  <c r="N205" i="2"/>
  <c r="R205" i="2" s="1"/>
  <c r="T204" i="2"/>
  <c r="N204" i="2"/>
  <c r="R204" i="2" s="1"/>
  <c r="T203" i="2"/>
  <c r="N203" i="2"/>
  <c r="R203" i="2" s="1"/>
  <c r="T202" i="2"/>
  <c r="N202" i="2"/>
  <c r="R202" i="2" s="1"/>
  <c r="T201" i="2"/>
  <c r="N201" i="2"/>
  <c r="R201" i="2" s="1"/>
  <c r="T200" i="2"/>
  <c r="N200" i="2"/>
  <c r="R200" i="2" s="1"/>
  <c r="T199" i="2"/>
  <c r="N199" i="2"/>
  <c r="R199" i="2" s="1"/>
  <c r="T198" i="2"/>
  <c r="N198" i="2"/>
  <c r="R198" i="2" s="1"/>
  <c r="T197" i="2"/>
  <c r="N197" i="2"/>
  <c r="R197" i="2" s="1"/>
  <c r="T196" i="2"/>
  <c r="N196" i="2"/>
  <c r="R196" i="2" s="1"/>
  <c r="T195" i="2"/>
  <c r="N195" i="2"/>
  <c r="R195" i="2" s="1"/>
  <c r="T194" i="2"/>
  <c r="N194" i="2"/>
  <c r="R194" i="2" s="1"/>
  <c r="T193" i="2"/>
  <c r="N193" i="2"/>
  <c r="R193" i="2" s="1"/>
  <c r="T192" i="2"/>
  <c r="N192" i="2"/>
  <c r="R192" i="2" s="1"/>
  <c r="T191" i="2"/>
  <c r="N191" i="2"/>
  <c r="R191" i="2" s="1"/>
  <c r="T190" i="2"/>
  <c r="N190" i="2"/>
  <c r="R190" i="2" s="1"/>
  <c r="T189" i="2"/>
  <c r="N189" i="2"/>
  <c r="R189" i="2" s="1"/>
  <c r="T188" i="2"/>
  <c r="N188" i="2"/>
  <c r="R188" i="2" s="1"/>
  <c r="T187" i="2"/>
  <c r="N187" i="2"/>
  <c r="R187" i="2" s="1"/>
  <c r="T186" i="2"/>
  <c r="N186" i="2"/>
  <c r="R186" i="2" s="1"/>
  <c r="T185" i="2"/>
  <c r="N185" i="2"/>
  <c r="R185" i="2" s="1"/>
  <c r="T184" i="2"/>
  <c r="N184" i="2"/>
  <c r="R184" i="2" s="1"/>
  <c r="T183" i="2"/>
  <c r="N183" i="2"/>
  <c r="R183" i="2" s="1"/>
  <c r="T182" i="2"/>
  <c r="N182" i="2"/>
  <c r="R182" i="2" s="1"/>
  <c r="T181" i="2"/>
  <c r="N181" i="2"/>
  <c r="R181" i="2" s="1"/>
  <c r="T180" i="2"/>
  <c r="N180" i="2"/>
  <c r="R180" i="2" s="1"/>
  <c r="T179" i="2"/>
  <c r="N179" i="2"/>
  <c r="R179" i="2" s="1"/>
  <c r="T178" i="2"/>
  <c r="N178" i="2"/>
  <c r="R178" i="2" s="1"/>
  <c r="T177" i="2"/>
  <c r="N177" i="2"/>
  <c r="R177" i="2" s="1"/>
  <c r="T176" i="2"/>
  <c r="N176" i="2"/>
  <c r="R176" i="2" s="1"/>
  <c r="T175" i="2"/>
  <c r="N175" i="2"/>
  <c r="R175" i="2" s="1"/>
  <c r="T174" i="2"/>
  <c r="N174" i="2"/>
  <c r="R174" i="2" s="1"/>
  <c r="T173" i="2"/>
  <c r="N173" i="2"/>
  <c r="R173" i="2" s="1"/>
  <c r="T172" i="2"/>
  <c r="N172" i="2"/>
  <c r="R172" i="2" s="1"/>
  <c r="T171" i="2"/>
  <c r="N171" i="2"/>
  <c r="R171" i="2" s="1"/>
  <c r="T170" i="2"/>
  <c r="N170" i="2"/>
  <c r="R170" i="2" s="1"/>
  <c r="T169" i="2"/>
  <c r="N169" i="2"/>
  <c r="R169" i="2" s="1"/>
  <c r="T168" i="2"/>
  <c r="N168" i="2"/>
  <c r="R168" i="2" s="1"/>
  <c r="T167" i="2"/>
  <c r="N167" i="2"/>
  <c r="R167" i="2" s="1"/>
  <c r="T166" i="2"/>
  <c r="N166" i="2"/>
  <c r="R166" i="2" s="1"/>
  <c r="T165" i="2"/>
  <c r="N165" i="2"/>
  <c r="R165" i="2" s="1"/>
  <c r="T164" i="2"/>
  <c r="N164" i="2"/>
  <c r="R164" i="2" s="1"/>
  <c r="T163" i="2"/>
  <c r="N163" i="2"/>
  <c r="R163" i="2" s="1"/>
  <c r="T162" i="2"/>
  <c r="N162" i="2"/>
  <c r="R162" i="2" s="1"/>
  <c r="T161" i="2"/>
  <c r="N161" i="2"/>
  <c r="R161" i="2" s="1"/>
  <c r="T160" i="2"/>
  <c r="N160" i="2"/>
  <c r="R160" i="2" s="1"/>
  <c r="T159" i="2"/>
  <c r="N159" i="2"/>
  <c r="R159" i="2" s="1"/>
  <c r="T158" i="2"/>
  <c r="N158" i="2"/>
  <c r="R158" i="2" s="1"/>
  <c r="T157" i="2"/>
  <c r="N157" i="2"/>
  <c r="R157" i="2" s="1"/>
  <c r="T156" i="2"/>
  <c r="N156" i="2"/>
  <c r="R156" i="2" s="1"/>
  <c r="T155" i="2"/>
  <c r="N155" i="2"/>
  <c r="R155" i="2" s="1"/>
  <c r="T154" i="2"/>
  <c r="N154" i="2"/>
  <c r="R154" i="2" s="1"/>
  <c r="T153" i="2"/>
  <c r="N153" i="2"/>
  <c r="R153" i="2" s="1"/>
  <c r="T152" i="2"/>
  <c r="N152" i="2"/>
  <c r="R152" i="2" s="1"/>
  <c r="T151" i="2"/>
  <c r="N151" i="2"/>
  <c r="R151" i="2" s="1"/>
  <c r="T150" i="2"/>
  <c r="N150" i="2"/>
  <c r="R150" i="2" s="1"/>
  <c r="T149" i="2"/>
  <c r="N149" i="2"/>
  <c r="R149" i="2" s="1"/>
  <c r="T148" i="2"/>
  <c r="N148" i="2"/>
  <c r="R148" i="2" s="1"/>
  <c r="T147" i="2"/>
  <c r="N147" i="2"/>
  <c r="R147" i="2" s="1"/>
  <c r="T146" i="2"/>
  <c r="N146" i="2"/>
  <c r="R146" i="2" s="1"/>
  <c r="T145" i="2"/>
  <c r="N145" i="2"/>
  <c r="R145" i="2" s="1"/>
  <c r="T144" i="2"/>
  <c r="N144" i="2"/>
  <c r="R144" i="2" s="1"/>
  <c r="T143" i="2"/>
  <c r="N143" i="2"/>
  <c r="R143" i="2" s="1"/>
  <c r="T142" i="2"/>
  <c r="N142" i="2"/>
  <c r="R142" i="2" s="1"/>
  <c r="T141" i="2"/>
  <c r="N141" i="2"/>
  <c r="R141" i="2" s="1"/>
  <c r="T140" i="2"/>
  <c r="N140" i="2"/>
  <c r="R140" i="2" s="1"/>
  <c r="T139" i="2"/>
  <c r="N139" i="2"/>
  <c r="R139" i="2" s="1"/>
  <c r="T138" i="2"/>
  <c r="N138" i="2"/>
  <c r="R138" i="2" s="1"/>
  <c r="T137" i="2"/>
  <c r="N137" i="2"/>
  <c r="R137" i="2" s="1"/>
  <c r="T136" i="2"/>
  <c r="N136" i="2"/>
  <c r="R136" i="2" s="1"/>
  <c r="T135" i="2"/>
  <c r="N135" i="2"/>
  <c r="R135" i="2" s="1"/>
  <c r="T134" i="2"/>
  <c r="N134" i="2"/>
  <c r="R134" i="2" s="1"/>
  <c r="T133" i="2"/>
  <c r="N133" i="2"/>
  <c r="R133" i="2" s="1"/>
  <c r="T132" i="2"/>
  <c r="N132" i="2"/>
  <c r="R132" i="2" s="1"/>
  <c r="T131" i="2"/>
  <c r="N131" i="2"/>
  <c r="R131" i="2" s="1"/>
  <c r="T130" i="2"/>
  <c r="N130" i="2"/>
  <c r="R130" i="2" s="1"/>
  <c r="T129" i="2"/>
  <c r="N129" i="2"/>
  <c r="R129" i="2" s="1"/>
  <c r="T128" i="2"/>
  <c r="N128" i="2"/>
  <c r="R128" i="2" s="1"/>
  <c r="T127" i="2"/>
  <c r="N127" i="2"/>
  <c r="R127" i="2" s="1"/>
  <c r="T126" i="2"/>
  <c r="N126" i="2"/>
  <c r="R126" i="2" s="1"/>
  <c r="T125" i="2"/>
  <c r="N125" i="2"/>
  <c r="R125" i="2" s="1"/>
  <c r="T124" i="2"/>
  <c r="N124" i="2"/>
  <c r="R124" i="2" s="1"/>
  <c r="T123" i="2"/>
  <c r="N123" i="2"/>
  <c r="R123" i="2" s="1"/>
  <c r="T122" i="2"/>
  <c r="N122" i="2"/>
  <c r="R122" i="2" s="1"/>
  <c r="T121" i="2"/>
  <c r="N121" i="2"/>
  <c r="R121" i="2" s="1"/>
  <c r="T120" i="2"/>
  <c r="N120" i="2"/>
  <c r="R120" i="2" s="1"/>
  <c r="T119" i="2"/>
  <c r="N119" i="2"/>
  <c r="R119" i="2" s="1"/>
  <c r="T118" i="2"/>
  <c r="N118" i="2"/>
  <c r="R118" i="2" s="1"/>
  <c r="T117" i="2"/>
  <c r="N117" i="2"/>
  <c r="R117" i="2" s="1"/>
  <c r="T116" i="2"/>
  <c r="N116" i="2"/>
  <c r="R116" i="2" s="1"/>
  <c r="T115" i="2"/>
  <c r="N115" i="2"/>
  <c r="R115" i="2" s="1"/>
  <c r="T114" i="2"/>
  <c r="N114" i="2"/>
  <c r="R114" i="2" s="1"/>
  <c r="T113" i="2"/>
  <c r="N113" i="2"/>
  <c r="R113" i="2" s="1"/>
  <c r="T112" i="2"/>
  <c r="N112" i="2"/>
  <c r="R112" i="2" s="1"/>
  <c r="T111" i="2"/>
  <c r="N111" i="2"/>
  <c r="R111" i="2" s="1"/>
  <c r="T110" i="2"/>
  <c r="N110" i="2"/>
  <c r="R110" i="2" s="1"/>
  <c r="T109" i="2"/>
  <c r="N109" i="2"/>
  <c r="R109" i="2" s="1"/>
  <c r="T108" i="2"/>
  <c r="N108" i="2"/>
  <c r="R108" i="2" s="1"/>
  <c r="T107" i="2"/>
  <c r="N107" i="2"/>
  <c r="R107" i="2" s="1"/>
  <c r="T106" i="2"/>
  <c r="N106" i="2"/>
  <c r="R106" i="2" s="1"/>
  <c r="T105" i="2"/>
  <c r="N105" i="2"/>
  <c r="R105" i="2" s="1"/>
  <c r="T104" i="2"/>
  <c r="N104" i="2"/>
  <c r="R104" i="2" s="1"/>
  <c r="T103" i="2"/>
  <c r="N103" i="2"/>
  <c r="R103" i="2" s="1"/>
  <c r="T102" i="2"/>
  <c r="N102" i="2"/>
  <c r="R102" i="2" s="1"/>
  <c r="T101" i="2"/>
  <c r="N101" i="2"/>
  <c r="R101" i="2" s="1"/>
  <c r="T100" i="2"/>
  <c r="N100" i="2"/>
  <c r="R100" i="2" s="1"/>
  <c r="T99" i="2"/>
  <c r="N99" i="2"/>
  <c r="R99" i="2" s="1"/>
  <c r="T98" i="2"/>
  <c r="N98" i="2"/>
  <c r="R98" i="2" s="1"/>
  <c r="T97" i="2"/>
  <c r="N97" i="2"/>
  <c r="R97" i="2" s="1"/>
  <c r="T96" i="2"/>
  <c r="N96" i="2"/>
  <c r="R96" i="2" s="1"/>
  <c r="T95" i="2"/>
  <c r="N95" i="2"/>
  <c r="R95" i="2" s="1"/>
  <c r="T94" i="2"/>
  <c r="N94" i="2"/>
  <c r="R94" i="2" s="1"/>
  <c r="T93" i="2"/>
  <c r="N93" i="2"/>
  <c r="R93" i="2" s="1"/>
  <c r="T92" i="2"/>
  <c r="N92" i="2"/>
  <c r="R92" i="2" s="1"/>
  <c r="T91" i="2"/>
  <c r="N91" i="2"/>
  <c r="R91" i="2" s="1"/>
  <c r="T90" i="2"/>
  <c r="N90" i="2"/>
  <c r="R90" i="2" s="1"/>
  <c r="T89" i="2"/>
  <c r="N89" i="2"/>
  <c r="R89" i="2" s="1"/>
  <c r="T88" i="2"/>
  <c r="N88" i="2"/>
  <c r="R88" i="2" s="1"/>
  <c r="T87" i="2"/>
  <c r="N87" i="2"/>
  <c r="R87" i="2" s="1"/>
  <c r="T86" i="2"/>
  <c r="N86" i="2"/>
  <c r="R86" i="2" s="1"/>
  <c r="T85" i="2"/>
  <c r="N85" i="2"/>
  <c r="R85" i="2" s="1"/>
  <c r="T84" i="2"/>
  <c r="N84" i="2"/>
  <c r="R84" i="2" s="1"/>
  <c r="T83" i="2"/>
  <c r="N83" i="2"/>
  <c r="R83" i="2" s="1"/>
  <c r="T82" i="2"/>
  <c r="N82" i="2"/>
  <c r="R82" i="2" s="1"/>
  <c r="T81" i="2"/>
  <c r="N81" i="2"/>
  <c r="R81" i="2" s="1"/>
  <c r="T80" i="2"/>
  <c r="N80" i="2"/>
  <c r="R80" i="2" s="1"/>
  <c r="T79" i="2"/>
  <c r="N79" i="2"/>
  <c r="R79" i="2" s="1"/>
  <c r="T78" i="2"/>
  <c r="N78" i="2"/>
  <c r="R78" i="2" s="1"/>
  <c r="T77" i="2"/>
  <c r="N77" i="2"/>
  <c r="R77" i="2" s="1"/>
  <c r="T76" i="2"/>
  <c r="N76" i="2"/>
  <c r="R76" i="2" s="1"/>
  <c r="T75" i="2"/>
  <c r="N75" i="2"/>
  <c r="R75" i="2" s="1"/>
  <c r="T74" i="2"/>
  <c r="N74" i="2"/>
  <c r="R74" i="2" s="1"/>
  <c r="T73" i="2"/>
  <c r="N73" i="2"/>
  <c r="R73" i="2" s="1"/>
  <c r="T72" i="2"/>
  <c r="N72" i="2"/>
  <c r="R72" i="2" s="1"/>
  <c r="T71" i="2"/>
  <c r="N71" i="2"/>
  <c r="R71" i="2" s="1"/>
  <c r="T70" i="2"/>
  <c r="N70" i="2"/>
  <c r="R70" i="2" s="1"/>
  <c r="T69" i="2"/>
  <c r="N69" i="2"/>
  <c r="R69" i="2" s="1"/>
  <c r="T68" i="2"/>
  <c r="N68" i="2"/>
  <c r="R68" i="2" s="1"/>
  <c r="T67" i="2"/>
  <c r="N67" i="2"/>
  <c r="R67" i="2" s="1"/>
  <c r="T66" i="2"/>
  <c r="N66" i="2"/>
  <c r="R66" i="2" s="1"/>
  <c r="T65" i="2"/>
  <c r="N65" i="2"/>
  <c r="R65" i="2" s="1"/>
  <c r="T64" i="2"/>
  <c r="N64" i="2"/>
  <c r="R64" i="2" s="1"/>
  <c r="T63" i="2"/>
  <c r="N63" i="2"/>
  <c r="R63" i="2" s="1"/>
  <c r="T62" i="2"/>
  <c r="N62" i="2"/>
  <c r="R62" i="2" s="1"/>
  <c r="T61" i="2"/>
  <c r="N61" i="2"/>
  <c r="R61" i="2" s="1"/>
  <c r="T60" i="2"/>
  <c r="N60" i="2"/>
  <c r="R60" i="2" s="1"/>
  <c r="T59" i="2"/>
  <c r="N59" i="2"/>
  <c r="R59" i="2" s="1"/>
  <c r="T58" i="2"/>
  <c r="N58" i="2"/>
  <c r="R58" i="2" s="1"/>
  <c r="T57" i="2"/>
  <c r="N57" i="2"/>
  <c r="R57" i="2" s="1"/>
  <c r="T56" i="2"/>
  <c r="N56" i="2"/>
  <c r="R56" i="2" s="1"/>
  <c r="T55" i="2"/>
  <c r="N55" i="2"/>
  <c r="R55" i="2" s="1"/>
  <c r="T54" i="2"/>
  <c r="N54" i="2"/>
  <c r="R54" i="2" s="1"/>
  <c r="T53" i="2"/>
  <c r="N53" i="2"/>
  <c r="R53" i="2" s="1"/>
  <c r="T52" i="2"/>
  <c r="N52" i="2"/>
  <c r="R52" i="2" s="1"/>
  <c r="T51" i="2"/>
  <c r="N51" i="2"/>
  <c r="R51" i="2" s="1"/>
  <c r="T50" i="2"/>
  <c r="N50" i="2"/>
  <c r="R50" i="2" s="1"/>
  <c r="T49" i="2"/>
  <c r="N49" i="2"/>
  <c r="R49" i="2" s="1"/>
  <c r="T48" i="2"/>
  <c r="N48" i="2"/>
  <c r="R48" i="2" s="1"/>
  <c r="T47" i="2"/>
  <c r="N47" i="2"/>
  <c r="R47" i="2" s="1"/>
  <c r="T46" i="2"/>
  <c r="N46" i="2"/>
  <c r="R46" i="2" s="1"/>
  <c r="T45" i="2"/>
  <c r="N45" i="2"/>
  <c r="R45" i="2" s="1"/>
  <c r="T44" i="2"/>
  <c r="N44" i="2"/>
  <c r="R44" i="2" s="1"/>
  <c r="T43" i="2"/>
  <c r="N43" i="2"/>
  <c r="R43" i="2" s="1"/>
  <c r="T42" i="2"/>
  <c r="N42" i="2"/>
  <c r="R42" i="2" s="1"/>
  <c r="T41" i="2"/>
  <c r="N41" i="2"/>
  <c r="R41" i="2" s="1"/>
  <c r="T40" i="2"/>
  <c r="N40" i="2"/>
  <c r="R40" i="2" s="1"/>
  <c r="T39" i="2"/>
  <c r="N39" i="2"/>
  <c r="R39" i="2" s="1"/>
  <c r="T38" i="2"/>
  <c r="N38" i="2"/>
  <c r="R38" i="2" s="1"/>
  <c r="T37" i="2"/>
  <c r="N37" i="2"/>
  <c r="R37" i="2" s="1"/>
  <c r="T36" i="2"/>
  <c r="N36" i="2"/>
  <c r="R36" i="2" s="1"/>
  <c r="T35" i="2"/>
  <c r="N35" i="2"/>
  <c r="R35" i="2" s="1"/>
  <c r="T34" i="2"/>
  <c r="N34" i="2"/>
  <c r="R34" i="2" s="1"/>
  <c r="T33" i="2"/>
  <c r="N33" i="2"/>
  <c r="R33" i="2" s="1"/>
  <c r="T32" i="2"/>
  <c r="N32" i="2"/>
  <c r="R32" i="2" s="1"/>
  <c r="T31" i="2"/>
  <c r="N31" i="2"/>
  <c r="R31" i="2" s="1"/>
  <c r="T30" i="2"/>
  <c r="N30" i="2"/>
  <c r="R30" i="2" s="1"/>
  <c r="T29" i="2"/>
  <c r="N29" i="2"/>
  <c r="R29" i="2" s="1"/>
  <c r="T28" i="2"/>
  <c r="N28" i="2"/>
  <c r="R28" i="2" s="1"/>
  <c r="T27" i="2"/>
  <c r="N27" i="2"/>
  <c r="R27" i="2" s="1"/>
  <c r="T26" i="2"/>
  <c r="N26" i="2"/>
  <c r="R26" i="2" s="1"/>
  <c r="T25" i="2"/>
  <c r="N25" i="2"/>
  <c r="R25" i="2" s="1"/>
  <c r="T24" i="2"/>
  <c r="N24" i="2"/>
  <c r="R24" i="2" s="1"/>
  <c r="T23" i="2"/>
  <c r="N23" i="2"/>
  <c r="R23" i="2" s="1"/>
  <c r="T22" i="2"/>
  <c r="N22" i="2"/>
  <c r="R22" i="2" s="1"/>
  <c r="T21" i="2"/>
  <c r="N21" i="2"/>
  <c r="R21" i="2" s="1"/>
  <c r="T20" i="2"/>
  <c r="N20" i="2"/>
  <c r="R20" i="2" s="1"/>
  <c r="T19" i="2"/>
  <c r="N19" i="2"/>
  <c r="R19" i="2" s="1"/>
  <c r="T18" i="2"/>
  <c r="N18" i="2"/>
  <c r="R18" i="2" s="1"/>
  <c r="T17" i="2"/>
  <c r="N17" i="2"/>
  <c r="R17" i="2" s="1"/>
  <c r="T16" i="2"/>
  <c r="N16" i="2"/>
  <c r="R16" i="2" s="1"/>
  <c r="T15" i="2"/>
  <c r="N15" i="2"/>
  <c r="R15" i="2" s="1"/>
  <c r="T14" i="2"/>
  <c r="N14" i="2"/>
  <c r="R14" i="2" s="1"/>
  <c r="T13" i="2"/>
  <c r="N13" i="2"/>
  <c r="R13" i="2" s="1"/>
  <c r="T12" i="2"/>
  <c r="N12" i="2"/>
  <c r="R12" i="2" s="1"/>
  <c r="T11" i="2"/>
  <c r="N11" i="2"/>
  <c r="R11" i="2" s="1"/>
  <c r="T10" i="2"/>
  <c r="N10" i="2"/>
  <c r="R10" i="2" s="1"/>
  <c r="T9" i="2"/>
  <c r="N9" i="2"/>
  <c r="R9" i="2" s="1"/>
  <c r="T8" i="2"/>
  <c r="N8" i="2"/>
  <c r="R8" i="2" s="1"/>
  <c r="T7" i="2"/>
  <c r="N7" i="2"/>
  <c r="R7" i="2" s="1"/>
  <c r="T6" i="2"/>
  <c r="N6" i="2"/>
  <c r="R6" i="2" s="1"/>
  <c r="T5" i="2"/>
  <c r="N5" i="2"/>
  <c r="R5" i="2" s="1"/>
  <c r="T4" i="2"/>
  <c r="N4" i="2"/>
  <c r="R4" i="2" s="1"/>
  <c r="B32" i="1"/>
  <c r="B27" i="1"/>
  <c r="B26" i="1"/>
  <c r="B25" i="1"/>
  <c r="B31" i="1" l="1"/>
  <c r="B29" i="1"/>
  <c r="R653" i="2"/>
  <c r="B28" i="1"/>
  <c r="B30" i="1"/>
</calcChain>
</file>

<file path=xl/sharedStrings.xml><?xml version="1.0" encoding="utf-8"?>
<sst xmlns="http://schemas.openxmlformats.org/spreadsheetml/2006/main" count="12662" uniqueCount="226">
  <si>
    <t>CCBA Q3 2026 Sales &amp; Revenue Tracker</t>
  </si>
  <si>
    <t>Coca-Cola Beverages Africa  ·  Q3 2026 (Jul–Sep)  ·  USD thousands at constant currency  ·  Source: Commercial Finance</t>
  </si>
  <si>
    <t>Topic</t>
  </si>
  <si>
    <t>Details</t>
  </si>
  <si>
    <t>Purpose</t>
  </si>
  <si>
    <t>Internal sales and revenue tracker for the CCBA Q3 2026 business review. Tracks sales volume, revenue and gross profit against prior year and plan by market, channel, brand and pack, plus active outlets and cooler placements by market and channel. No pivots, charts or dashboards are prebuilt.</t>
  </si>
  <si>
    <t>Business context</t>
  </si>
  <si>
    <t>Coca-Cola Beverages Africa (CCBA) bottles and distributes Coca-Cola brands across 14 sub-Saharan African countries, reaching customers through formal retail, informal traders, HORECA outlets and online ordering (eB2B). This workbook covers 7 markets.</t>
  </si>
  <si>
    <t>Scope</t>
  </si>
  <si>
    <t>Q3 2026 (Jul–Sep). 7 markets in 2 regions, 5 channels, 6 categories, 13 brands, 4 pack types. SalesData: 1,470 rows (month × market × channel × brand × pack). OutletData: 105 rows (month × market × channel).</t>
  </si>
  <si>
    <t>Sheet map</t>
  </si>
  <si>
    <t>README (this sheet) · Sales_Data (table SalesData) · Outlet_Data (table OutletData) · Data_Dictionary (field definitions) · Lookup (markets, brands, categories, packs, channels).</t>
  </si>
  <si>
    <t>Currency</t>
  </si>
  <si>
    <t>All money is in USD thousands (USD k) at constant currency: local results are translated at fixed plan rates, so actual, prior year and plan compare without FX effects.</t>
  </si>
  <si>
    <t>Volume</t>
  </si>
  <si>
    <t>Unit cases (UC). 1 unit case = 24 × 8 US fl oz servings (≈5.68 litres), the standard Coca-Cola system volume measure.</t>
  </si>
  <si>
    <t>Comparators</t>
  </si>
  <si>
    <t>PY = the same month of 2025 on the same basis. Plan = the 2026 operating plan for the month.</t>
  </si>
  <si>
    <t>Calculated columns</t>
  </si>
  <si>
    <t>Net_Revenue_USDk = Gross_Revenue_USDk − Trade_Discounts_USDk. Gross_Profit_USDk = Net_Revenue_USDk − COGS_USDk. Gross_Profit_PY_USDk = Net_Revenue_PY_USDk − COGS_PY_USDk. These are live formulas in the table.</t>
  </si>
  <si>
    <t>Rule: ratios</t>
  </si>
  <si>
    <t>Calculate ratios from totals, never by averaging row-level ratios. NR per UC (USD) = SUM(Net_Revenue_USDk) × 1000 ÷ SUM(Volume_UC). GP % = SUM(Gross_Profit_USDk) ÷ SUM(Net_Revenue_USDk). Trade discount % = SUM(Trade_Discounts_USDk) ÷ SUM(Gross_Revenue_USDk).</t>
  </si>
  <si>
    <t>Rule: growth and plan</t>
  </si>
  <si>
    <t>Growth vs PY = SUM(Actual) ÷ SUM(PY) − 1. Plan attainment = SUM(Actual) ÷ SUM(Plan); variance = Actual − Plan.</t>
  </si>
  <si>
    <t>Rule: outlets</t>
  </si>
  <si>
    <t>Active_Outlets add up across markets and channels within one month. For the quarter, use the monthly average or September — do not add months together. Coolers_Placed can be summed across months.</t>
  </si>
  <si>
    <t>Key terms</t>
  </si>
  <si>
    <t>RGB = returnable glass bottle. Returnable PET = refillable PET, incl. the 2L returnable. One-way PET = single-use PET (recycled via PETCO-supported collection). HORECA = hotels, restaurants and cafés. eB2B = online ordering by customers and outlets. SSD = sparkling soft drinks.</t>
  </si>
  <si>
    <t>Data note</t>
  </si>
  <si>
    <t>Source: Commercial Finance. Q3 2026 (Jul–Sep) by month; money in USD thousands (USD k) at constant currency, volume in unit cases (UC). PY and Plan are on the same basis.</t>
  </si>
  <si>
    <t>Data checks</t>
  </si>
  <si>
    <t>Result (each should be 0 unless stated)</t>
  </si>
  <si>
    <t>SalesData rows (expect 1,470)</t>
  </si>
  <si>
    <t>Rows with Volume_UC ≤ PY</t>
  </si>
  <si>
    <t>Rows with Volume_UC ≤ Plan</t>
  </si>
  <si>
    <t>Rows with Net Revenue ≤ PY</t>
  </si>
  <si>
    <t>Rows with Net Revenue ≤ Plan</t>
  </si>
  <si>
    <t>Rows with Gross Profit ≤ PY</t>
  </si>
  <si>
    <t>Calculated-column errors</t>
  </si>
  <si>
    <t>Outlet rows with outlets ≤ PY</t>
  </si>
  <si>
    <t>CCBA Q3 2026 Sales &amp; Revenue — Sales_Data (table: SalesData)</t>
  </si>
  <si>
    <t>Q3 2026 (Jul–Sep)  ·  Volume in unit cases (UC)  ·  USD thousands (USD k) at constant currency  ·  Source: Commercial Finance</t>
  </si>
  <si>
    <t>Period</t>
  </si>
  <si>
    <t>Month</t>
  </si>
  <si>
    <t>Region</t>
  </si>
  <si>
    <t>Market</t>
  </si>
  <si>
    <t>Channel</t>
  </si>
  <si>
    <t>Category</t>
  </si>
  <si>
    <t>Brand</t>
  </si>
  <si>
    <t>Pack_Type</t>
  </si>
  <si>
    <t>Volume_UC</t>
  </si>
  <si>
    <t>Volume_UC_PY</t>
  </si>
  <si>
    <t>Volume_UC_Plan</t>
  </si>
  <si>
    <t>Gross_Revenue_USDk</t>
  </si>
  <si>
    <t>Trade_Discounts_USDk</t>
  </si>
  <si>
    <t>Net_Revenue_USDk</t>
  </si>
  <si>
    <t>Net_Revenue_PY_USDk</t>
  </si>
  <si>
    <t>Net_Revenue_Plan_USDk</t>
  </si>
  <si>
    <t>COGS_USDk</t>
  </si>
  <si>
    <t>Gross_Profit_USDk</t>
  </si>
  <si>
    <t>COGS_PY_USDk</t>
  </si>
  <si>
    <t>Gross_Profit_PY_USDk</t>
  </si>
  <si>
    <t>2026-07</t>
  </si>
  <si>
    <t>Jul</t>
  </si>
  <si>
    <t>Southern Africa</t>
  </si>
  <si>
    <t>South Africa</t>
  </si>
  <si>
    <t>Modern Trade</t>
  </si>
  <si>
    <t>SSD</t>
  </si>
  <si>
    <t>Coca-Cola Original</t>
  </si>
  <si>
    <t>RGB</t>
  </si>
  <si>
    <t>Returnable PET</t>
  </si>
  <si>
    <t>One-way PET</t>
  </si>
  <si>
    <t>Can</t>
  </si>
  <si>
    <t>Coca-Cola No Sugar</t>
  </si>
  <si>
    <t>Fanta</t>
  </si>
  <si>
    <t>Sprite</t>
  </si>
  <si>
    <t>Schweppes</t>
  </si>
  <si>
    <t>Stoney</t>
  </si>
  <si>
    <t>Sparletta</t>
  </si>
  <si>
    <t>Water</t>
  </si>
  <si>
    <t>Valpre</t>
  </si>
  <si>
    <t>Hydration</t>
  </si>
  <si>
    <t>Powerade</t>
  </si>
  <si>
    <t>Energy</t>
  </si>
  <si>
    <t>Monster Energy</t>
  </si>
  <si>
    <t>Juice</t>
  </si>
  <si>
    <t>Appletiser</t>
  </si>
  <si>
    <t>Coffee</t>
  </si>
  <si>
    <t>Costa Coffee</t>
  </si>
  <si>
    <t>Traditional Trade</t>
  </si>
  <si>
    <t>Wholesale</t>
  </si>
  <si>
    <t>HORECA / On-Premise</t>
  </si>
  <si>
    <t>eB2B</t>
  </si>
  <si>
    <t>East Africa</t>
  </si>
  <si>
    <t>Kenya</t>
  </si>
  <si>
    <t>Bonaqua</t>
  </si>
  <si>
    <t>Ethiopia</t>
  </si>
  <si>
    <t>Tanzania</t>
  </si>
  <si>
    <t>Uganda</t>
  </si>
  <si>
    <t>Mozambique</t>
  </si>
  <si>
    <t>Namibia</t>
  </si>
  <si>
    <t>2026-08</t>
  </si>
  <si>
    <t>Aug</t>
  </si>
  <si>
    <t>2026-09</t>
  </si>
  <si>
    <t>Sep</t>
  </si>
  <si>
    <t>CCBA Q3 2026 Sales &amp; Revenue — Outlet_Data (table: OutletData)</t>
  </si>
  <si>
    <t>Q3 2026 (Jul–Sep)  ·  Outlet and cooler counts by month × market × primary ordering channel  ·  Source: Commercial Finance</t>
  </si>
  <si>
    <t>Active_Outlets</t>
  </si>
  <si>
    <t>Active_Outlets_PY</t>
  </si>
  <si>
    <t>Coolers_Placed</t>
  </si>
  <si>
    <t>Coolers_Placed_PY</t>
  </si>
  <si>
    <t>CCBA Q3 2026 Sales &amp; Revenue — Data dictionary</t>
  </si>
  <si>
    <t>Q3 2026 (Jul–Sep)  ·  USD thousands at constant currency  ·  Field definitions and aggregation rules  ·  Source: Commercial Finance</t>
  </si>
  <si>
    <t>Field</t>
  </si>
  <si>
    <t>Table</t>
  </si>
  <si>
    <t>Data_Type</t>
  </si>
  <si>
    <t>Unit</t>
  </si>
  <si>
    <t>Definition</t>
  </si>
  <si>
    <t>How_to_Aggregate</t>
  </si>
  <si>
    <t>SalesData, OutletData</t>
  </si>
  <si>
    <t>Text</t>
  </si>
  <si>
    <t>YYYY-MM</t>
  </si>
  <si>
    <t>Calendar month of the record (2026-07 to 2026-09 = Q3 2026)</t>
  </si>
  <si>
    <t>Group / filter by; sorts chronologically</t>
  </si>
  <si>
    <t>Mon</t>
  </si>
  <si>
    <t>Short month name (Jul, Aug, Sep)</t>
  </si>
  <si>
    <t>Group by; sort using Period</t>
  </si>
  <si>
    <t>—</t>
  </si>
  <si>
    <t>Market grouping: Southern Africa or East Africa (see Lookup_Markets)</t>
  </si>
  <si>
    <t>Group by</t>
  </si>
  <si>
    <t>Country market (7 markets)</t>
  </si>
  <si>
    <t>Route-to-market channel: Modern Trade, Traditional Trade, Wholesale, HORECA / On-Premise, eB2B (online ordering)</t>
  </si>
  <si>
    <t>SalesData</t>
  </si>
  <si>
    <t>Beverage category: SSD, Water, Hydration, Energy, Juice, Coffee</t>
  </si>
  <si>
    <t>Brand sold (13 brands; see Lookup_Brands)</t>
  </si>
  <si>
    <t>RGB, Returnable PET, One-way PET or Can (see Lookup_Packs)</t>
  </si>
  <si>
    <t>Number</t>
  </si>
  <si>
    <t>Unit cases</t>
  </si>
  <si>
    <t>Actual volume sold; 1 unit case = 24 × 8 US fl oz servings (≈5.68 L)</t>
  </si>
  <si>
    <t>SUM</t>
  </si>
  <si>
    <t>Volume in the same month of 2025 (prior year)</t>
  </si>
  <si>
    <t>2026 operating plan volume for the month</t>
  </si>
  <si>
    <t>USD k</t>
  </si>
  <si>
    <t>Revenue at list price before trade discounts</t>
  </si>
  <si>
    <t>Customer trade discounts, rebates and promotional allowances (positive amount)</t>
  </si>
  <si>
    <t>Formula</t>
  </si>
  <si>
    <t>Gross_Revenue_USDk − Trade_Discounts_USDk (live formula)</t>
  </si>
  <si>
    <t>Net revenue in the same month of 2025, constant currency</t>
  </si>
  <si>
    <t>2026 operating plan net revenue for the month</t>
  </si>
  <si>
    <t>Cost of goods sold: concentrate, sugar, packaging, conversion and production overheads (positive amount)</t>
  </si>
  <si>
    <t>Net_Revenue_USDk − COGS_USDk (live formula)</t>
  </si>
  <si>
    <t>Cost of goods sold in the same month of 2025</t>
  </si>
  <si>
    <t>Net_Revenue_PY_USDk − COGS_PY_USDk (live formula)</t>
  </si>
  <si>
    <t>OutletData</t>
  </si>
  <si>
    <t>Outlets</t>
  </si>
  <si>
    <t>Distinct customer outlets with at least one invoiced order in the month, counted once under their primary ordering channel</t>
  </si>
  <si>
    <t>SUM across markets/channels within a month; for the quarter use the monthly average or September — never sum months</t>
  </si>
  <si>
    <t>Active outlets in the same month of 2025</t>
  </si>
  <si>
    <t>As Active_Outlets</t>
  </si>
  <si>
    <t>Coolers</t>
  </si>
  <si>
    <t>New branded coolers placed in outlets during the month</t>
  </si>
  <si>
    <t>New coolers placed in the same month of 2025</t>
  </si>
  <si>
    <t>NR per UC</t>
  </si>
  <si>
    <t>Derived metric</t>
  </si>
  <si>
    <t>Ratio</t>
  </si>
  <si>
    <t>USD per UC</t>
  </si>
  <si>
    <t>Net revenue per unit case (price/mix indicator)</t>
  </si>
  <si>
    <t>SUM(Net_Revenue_USDk) × 1000 ÷ SUM(Volume_UC)</t>
  </si>
  <si>
    <t>GP %</t>
  </si>
  <si>
    <t>%</t>
  </si>
  <si>
    <t>Gross profit margin</t>
  </si>
  <si>
    <t>SUM(Gross_Profit_USDk) ÷ SUM(Net_Revenue_USDk)</t>
  </si>
  <si>
    <t>Trade discount %</t>
  </si>
  <si>
    <t>Share of gross revenue given back as trade discounts</t>
  </si>
  <si>
    <t>SUM(Trade_Discounts_USDk) ÷ SUM(Gross_Revenue_USDk)</t>
  </si>
  <si>
    <t>Growth vs PY</t>
  </si>
  <si>
    <t>Year-on-year growth for any additive measure</t>
  </si>
  <si>
    <t>SUM(Actual) ÷ SUM(PY) − 1</t>
  </si>
  <si>
    <t>Plan attainment</t>
  </si>
  <si>
    <t>Actual as a share of plan (above 100% = ahead of plan)</t>
  </si>
  <si>
    <t>SUM(Actual) ÷ SUM(Plan)</t>
  </si>
  <si>
    <t>CCBA Q3 2026 Sales &amp; Revenue — Lookup tables</t>
  </si>
  <si>
    <t>Q3 2026 (Jul–Sep)  ·  USD thousands at constant currency  ·  Reference lists for markets, brands, categories, packs and channels  ·  Source: Commercial Finance</t>
  </si>
  <si>
    <t>Markets</t>
  </si>
  <si>
    <t>Brands</t>
  </si>
  <si>
    <t>Categories</t>
  </si>
  <si>
    <t>ISO_Code</t>
  </si>
  <si>
    <t>Local_Currency</t>
  </si>
  <si>
    <t>Segment</t>
  </si>
  <si>
    <t>Description</t>
  </si>
  <si>
    <t>ZA</t>
  </si>
  <si>
    <t>ZAR</t>
  </si>
  <si>
    <t>Sparkling</t>
  </si>
  <si>
    <t>Sparkling soft drinks (colas, flavours, mixers)</t>
  </si>
  <si>
    <t>NA</t>
  </si>
  <si>
    <t>NAD</t>
  </si>
  <si>
    <t>Still and sparkling packaged water</t>
  </si>
  <si>
    <t>MZ</t>
  </si>
  <si>
    <t>MZN</t>
  </si>
  <si>
    <t>Sports drinks</t>
  </si>
  <si>
    <t>KE</t>
  </si>
  <si>
    <t>KES</t>
  </si>
  <si>
    <t>Energy drinks</t>
  </si>
  <si>
    <t>TZ</t>
  </si>
  <si>
    <t>TZS</t>
  </si>
  <si>
    <t>Fruit juice and sparkling juice</t>
  </si>
  <si>
    <t>UG</t>
  </si>
  <si>
    <t>UGX</t>
  </si>
  <si>
    <t>Ready-to-drink coffee</t>
  </si>
  <si>
    <t>ET</t>
  </si>
  <si>
    <t>ETB</t>
  </si>
  <si>
    <t>Stills</t>
  </si>
  <si>
    <t>Pack types</t>
  </si>
  <si>
    <t>Channels</t>
  </si>
  <si>
    <t>Returnable</t>
  </si>
  <si>
    <t>Returnable glass bottle</t>
  </si>
  <si>
    <t>Yes</t>
  </si>
  <si>
    <t>Formal retail: supermarket and chain-store outlets</t>
  </si>
  <si>
    <t>Refillable PET bottle, incl. 2L returnable</t>
  </si>
  <si>
    <t>Informal traders, spaza shops, kiosks and general dealers served by sales reps</t>
  </si>
  <si>
    <t>Single-use PET bottle; recyclable through PETCO-supported collection</t>
  </si>
  <si>
    <t>No</t>
  </si>
  <si>
    <t>Wholesalers and cash-and-carry outlets</t>
  </si>
  <si>
    <t>Aluminium can</t>
  </si>
  <si>
    <t>Hotels, restaurants, cafés, bars and other immediate-consumption outlets</t>
  </si>
  <si>
    <t>Online ordering (eB2B)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</si>
</sst>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1"/>
      <color theme="1"/>
      <name val="Calibri"/>
      <family val="2"/>
      <scheme val="minor"/>
    </font>
    <font>
      <sz val="11"/>
      <color theme="1"/>
      <name val="Aptos"/>
    </font>
    <font>
      <b/>
      <sz val="11"/>
      <color rgb="FFFFFFFF"/>
      <name val="Aptos"/>
    </font>
    <font>
      <b/>
      <sz val="16"/>
      <color rgb="FFF40009"/>
      <name val="Aptos"/>
    </font>
    <font>
      <i/>
      <sz val="9"/>
      <color rgb="FF808285"/>
      <name val="Aptos"/>
    </font>
    <font>
      <sz val="11"/>
      <color rgb="FF455560"/>
      <name val="Aptos"/>
    </font>
    <font>
      <b/>
      <sz val="11"/>
      <color rgb="FF455560"/>
      <name val="Aptos"/>
    </font>
    <font>
      <b/>
      <i/>
      <sz val="11"/>
      <color rgb="FF808285"/>
      <name val="Aptos"/>
    </font>
    <font>
      <i/>
      <sz val="11"/>
      <color rgb="FF808285"/>
      <name val="Aptos"/>
    </font>
    <font>
      <b/>
      <sz val="12"/>
      <color rgb="FF455560"/>
      <name val="Aptos"/>
    </font>
  </fonts>
  <fills count="5">
    <fill>
      <patternFill patternType="none"/>
    </fill>
    <fill>
      <patternFill patternType="gray125"/>
    </fill>
    <fill>
      <patternFill patternType="solid">
        <fgColor rgb="FFFFFFFF"/>
        <bgColor indexed="64"/>
      </patternFill>
    </fill>
    <fill>
      <patternFill patternType="solid">
        <fgColor rgb="FFF40009"/>
        <bgColor indexed="64"/>
      </patternFill>
    </fill>
    <fill>
      <patternFill patternType="solid">
        <fgColor rgb="FF455560"/>
        <bgColor indexed="64"/>
      </patternFill>
    </fill>
  </fills>
  <borders count="8">
    <border>
      <left/>
      <right/>
      <top/>
      <bottom/>
      <diagonal/>
    </border>
    <border>
      <left/>
      <right/>
      <top/>
      <bottom style="thin">
        <color rgb="FFF40009"/>
      </bottom>
      <diagonal/>
    </border>
    <border>
      <left/>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right/>
      <top/>
      <bottom style="thin">
        <color rgb="FF808285"/>
      </bottom>
      <diagonal/>
    </border>
    <border>
      <left/>
      <right/>
      <top style="thin">
        <color rgb="FFFFFFFF"/>
      </top>
      <bottom style="thin">
        <color rgb="FF808285"/>
      </bottom>
      <diagonal/>
    </border>
    <border>
      <left/>
      <right/>
      <top style="thin">
        <color rgb="FF808285"/>
      </top>
      <bottom style="thin">
        <color rgb="FF808285"/>
      </bottom>
      <diagonal/>
    </border>
  </borders>
  <cellStyleXfs count="1">
    <xf numFmtId="0" fontId="0" fillId="0" borderId="0"/>
  </cellStyleXfs>
  <cellXfs count="41">
    <xf numFmtId="0" fontId="0" fillId="0" borderId="0" xfId="0"/>
    <xf numFmtId="0" fontId="1" fillId="0" borderId="0" xfId="0" applyFont="1"/>
    <xf numFmtId="0" fontId="5" fillId="0" borderId="0" xfId="0" applyFont="1"/>
    <xf numFmtId="0" fontId="2" fillId="3"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3" borderId="0" xfId="0" applyFont="1" applyFill="1" applyAlignment="1">
      <alignment horizontal="center" vertical="top" wrapText="1"/>
    </xf>
    <xf numFmtId="0" fontId="2" fillId="3" borderId="2" xfId="0" applyFont="1" applyFill="1" applyBorder="1" applyAlignment="1">
      <alignment horizontal="center" vertical="top" wrapText="1"/>
    </xf>
    <xf numFmtId="0" fontId="9" fillId="0" borderId="0" xfId="0" applyFont="1"/>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49" fontId="5" fillId="2" borderId="6" xfId="0" applyNumberFormat="1" applyFont="1" applyFill="1" applyBorder="1"/>
    <xf numFmtId="0" fontId="5" fillId="2" borderId="6" xfId="0" applyFont="1" applyFill="1" applyBorder="1"/>
    <xf numFmtId="3" fontId="5" fillId="2" borderId="6" xfId="0" applyNumberFormat="1" applyFont="1" applyFill="1" applyBorder="1" applyAlignment="1">
      <alignment horizontal="right"/>
    </xf>
    <xf numFmtId="164" fontId="5" fillId="2" borderId="6" xfId="0" applyNumberFormat="1" applyFont="1" applyFill="1" applyBorder="1" applyAlignment="1">
      <alignment horizontal="right"/>
    </xf>
    <xf numFmtId="49" fontId="5" fillId="2" borderId="7" xfId="0" applyNumberFormat="1" applyFont="1" applyFill="1" applyBorder="1"/>
    <xf numFmtId="0" fontId="5" fillId="2" borderId="7" xfId="0" applyFont="1" applyFill="1" applyBorder="1"/>
    <xf numFmtId="3" fontId="5" fillId="2" borderId="7" xfId="0" applyNumberFormat="1" applyFont="1" applyFill="1" applyBorder="1" applyAlignment="1">
      <alignment horizontal="right"/>
    </xf>
    <xf numFmtId="164" fontId="5" fillId="2" borderId="7" xfId="0" applyNumberFormat="1" applyFont="1" applyFill="1" applyBorder="1" applyAlignment="1">
      <alignment horizontal="right"/>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6" fillId="2" borderId="5" xfId="0" applyFont="1" applyFill="1" applyBorder="1" applyAlignment="1">
      <alignment vertical="top"/>
    </xf>
    <xf numFmtId="0" fontId="5" fillId="2" borderId="5" xfId="0" applyFont="1" applyFill="1" applyBorder="1" applyAlignment="1">
      <alignment vertical="top" wrapText="1"/>
    </xf>
    <xf numFmtId="0" fontId="6" fillId="2" borderId="6" xfId="0" applyFont="1" applyFill="1" applyBorder="1" applyAlignment="1">
      <alignment vertical="top"/>
    </xf>
    <xf numFmtId="0" fontId="5" fillId="2" borderId="6" xfId="0" applyFont="1" applyFill="1" applyBorder="1" applyAlignment="1">
      <alignment vertical="top"/>
    </xf>
    <xf numFmtId="0" fontId="5" fillId="2" borderId="6" xfId="0" applyFont="1" applyFill="1" applyBorder="1" applyAlignment="1">
      <alignment vertical="top" wrapText="1"/>
    </xf>
    <xf numFmtId="0" fontId="6" fillId="2" borderId="7" xfId="0" applyFont="1" applyFill="1" applyBorder="1" applyAlignment="1">
      <alignment vertical="top"/>
    </xf>
    <xf numFmtId="0" fontId="5" fillId="2" borderId="7" xfId="0" applyFont="1" applyFill="1" applyBorder="1" applyAlignment="1">
      <alignment vertical="top"/>
    </xf>
    <xf numFmtId="0" fontId="5" fillId="2" borderId="7" xfId="0" applyFont="1" applyFill="1" applyBorder="1" applyAlignment="1">
      <alignment vertical="top" wrapText="1"/>
    </xf>
    <xf numFmtId="0" fontId="7" fillId="2" borderId="7" xfId="0" applyFont="1" applyFill="1" applyBorder="1" applyAlignment="1">
      <alignment vertical="top"/>
    </xf>
    <xf numFmtId="0" fontId="8" fillId="2" borderId="7" xfId="0" applyFont="1" applyFill="1" applyBorder="1" applyAlignment="1">
      <alignment vertical="top" wrapText="1"/>
    </xf>
    <xf numFmtId="0" fontId="2" fillId="4" borderId="7" xfId="0" applyFont="1" applyFill="1" applyBorder="1" applyAlignment="1">
      <alignment vertical="top"/>
    </xf>
    <xf numFmtId="3" fontId="5" fillId="2" borderId="7" xfId="0" applyNumberFormat="1" applyFont="1" applyFill="1" applyBorder="1" applyAlignment="1">
      <alignment horizontal="left" vertical="top"/>
    </xf>
    <xf numFmtId="0" fontId="5" fillId="0" borderId="5" xfId="0" applyFont="1" applyBorder="1"/>
    <xf numFmtId="0" fontId="5" fillId="0" borderId="7" xfId="0" applyFont="1" applyBorder="1"/>
    <xf numFmtId="0" fontId="5" fillId="0" borderId="5" xfId="0" applyFont="1" applyBorder="1" applyAlignment="1">
      <alignment wrapText="1"/>
    </xf>
    <xf numFmtId="0" fontId="5" fillId="0" borderId="7" xfId="0" applyFont="1" applyBorder="1" applyAlignment="1">
      <alignment wrapText="1"/>
    </xf>
    <xf numFmtId="0" fontId="4" fillId="2" borderId="1" xfId="0" applyFont="1" applyFill="1" applyBorder="1"/>
    <xf numFmtId="0" fontId="0" fillId="0" borderId="1" xfId="0" applyBorder="1"/>
    <xf numFmtId="0" fontId="3" fillId="2" borderId="0" xfId="0" applyFont="1" applyFill="1" applyAlignment="1">
      <alignment vertical="center"/>
    </xf>
    <xf numFmtId="0" fontId="0" fillId="0" borderId="0" xfId="0"/>
    <xf numFmtId="0" fontId="4" fillId="2" borderId="0" xfId="0" applyFont="1" applyFill="1"/>
  </cellXfs>
  <cellStyles count="1">
    <cellStyle name="Normal" xfId="0" builtinId="0"/>
  </cellStyles>
  <dxfs count="70">
    <dxf>
      <font>
        <color rgb="FF455560"/>
        <name val="Aptos"/>
      </font>
      <alignment wrapText="1"/>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dxf>
    <dxf>
      <font>
        <b/>
        <color rgb="FFFFFFFF"/>
        <name val="Aptos"/>
      </font>
      <fill>
        <patternFill patternType="solid">
          <fgColor indexed="64"/>
          <bgColor rgb="FFF40009"/>
        </patternFill>
      </fill>
      <alignment horizontal="center" vertical="center" wrapText="1"/>
    </dxf>
    <dxf>
      <font>
        <color rgb="FF455560"/>
        <name val="Aptos"/>
      </font>
      <border>
        <left/>
        <right/>
        <top style="thin">
          <color rgb="FF808285"/>
        </top>
        <bottom style="thin">
          <color rgb="FF808285"/>
        </bottom>
        <vertical/>
        <horizontal style="thin">
          <color rgb="FF808285"/>
        </horizontal>
      </border>
    </dxf>
    <dxf>
      <font>
        <color rgb="FF455560"/>
        <name val="Aptos"/>
      </font>
      <alignment wrapText="1"/>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dxf>
    <dxf>
      <font>
        <b/>
        <color rgb="FFFFFFFF"/>
        <name val="Aptos"/>
      </font>
      <fill>
        <patternFill patternType="solid">
          <fgColor indexed="64"/>
          <bgColor rgb="FFF40009"/>
        </patternFill>
      </fill>
      <alignment horizontal="center" vertical="center" wrapText="1"/>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dxf>
    <dxf>
      <font>
        <b/>
        <color rgb="FFFFFFFF"/>
        <name val="Aptos"/>
      </font>
      <fill>
        <patternFill patternType="solid">
          <fgColor indexed="64"/>
          <bgColor rgb="FFF40009"/>
        </patternFill>
      </fill>
      <alignment horizontal="center" vertical="center" wrapText="1"/>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dxf>
    <dxf>
      <font>
        <b/>
        <color rgb="FFFFFFFF"/>
        <name val="Aptos"/>
      </font>
      <fill>
        <patternFill patternType="solid">
          <fgColor indexed="64"/>
          <bgColor rgb="FFF40009"/>
        </patternFill>
      </fill>
      <alignment horizontal="center" vertical="center" wrapText="1"/>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border>
        <left/>
        <right/>
        <top style="thin">
          <color rgb="FF808285"/>
        </top>
        <bottom style="thin">
          <color rgb="FF808285"/>
        </bottom>
        <vertical/>
        <horizontal style="thin">
          <color rgb="FF808285"/>
        </horizontal>
      </border>
    </dxf>
    <dxf>
      <font>
        <color rgb="FF455560"/>
        <name val="Aptos"/>
      </font>
    </dxf>
    <dxf>
      <font>
        <b/>
        <color rgb="FFFFFFFF"/>
        <name val="Aptos"/>
      </font>
      <fill>
        <patternFill patternType="solid">
          <fgColor indexed="64"/>
          <bgColor rgb="FFF40009"/>
        </patternFill>
      </fill>
      <alignment horizontal="center" vertical="center" wrapText="1"/>
    </dxf>
    <dxf>
      <font>
        <color rgb="FF455560"/>
        <name val="Aptos"/>
      </font>
      <fill>
        <patternFill patternType="solid">
          <fgColor indexed="64"/>
          <bgColor rgb="FFFFFFFF"/>
        </patternFill>
      </fill>
      <alignment vertical="top" wrapText="1"/>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alignment vertical="top" wrapText="1"/>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alignment vertical="top"/>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alignment vertical="top"/>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alignment vertical="top"/>
      <border>
        <left/>
        <right/>
        <top style="thin">
          <color rgb="FF808285"/>
        </top>
        <bottom style="thin">
          <color rgb="FF808285"/>
        </bottom>
        <vertical/>
        <horizontal style="thin">
          <color rgb="FF808285"/>
        </horizontal>
      </border>
    </dxf>
    <dxf>
      <font>
        <b/>
        <color rgb="FF455560"/>
        <name val="Aptos"/>
      </font>
      <fill>
        <patternFill patternType="solid">
          <fgColor indexed="64"/>
          <bgColor rgb="FFFFFFFF"/>
        </patternFill>
      </fill>
      <alignment vertical="top"/>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alignment vertical="top"/>
    </dxf>
    <dxf>
      <border>
        <bottom style="thin">
          <color rgb="FFFFFFFF"/>
        </bottom>
      </border>
    </dxf>
    <dxf>
      <font>
        <b/>
        <color rgb="FFFFFFFF"/>
        <name val="Aptos"/>
      </font>
      <fill>
        <patternFill patternType="solid">
          <fgColor indexed="64"/>
          <bgColor rgb="FFF40009"/>
        </patternFill>
      </fill>
      <alignment horizontal="center" vertical="top" wrapText="1"/>
      <border>
        <left/>
        <right/>
        <top/>
        <bottom/>
        <vertical/>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numFmt numFmtId="30" formatCode="@"/>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dxf>
    <dxf>
      <border>
        <bottom style="thin">
          <color rgb="FFFFFFFF"/>
        </bottom>
      </border>
    </dxf>
    <dxf>
      <font>
        <b/>
        <color rgb="FFFFFFFF"/>
        <name val="Aptos"/>
      </font>
      <fill>
        <patternFill patternType="solid">
          <fgColor indexed="64"/>
          <bgColor rgb="FFF40009"/>
        </patternFill>
      </fill>
      <alignment horizontal="center" vertical="center" wrapText="1"/>
      <border>
        <left/>
        <right/>
        <top/>
        <bottom/>
        <vertical/>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164" formatCode="#,##0.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numFmt numFmtId="3" formatCode="#,##0"/>
      <fill>
        <patternFill patternType="solid">
          <fgColor indexed="64"/>
          <bgColor rgb="FFFFFFFF"/>
        </patternFill>
      </fill>
      <alignment horizontal="right"/>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numFmt numFmtId="30" formatCode="@"/>
      <fill>
        <patternFill patternType="solid">
          <fgColor indexed="64"/>
          <bgColor rgb="FFFFFFFF"/>
        </patternFill>
      </fill>
      <border>
        <left/>
        <right/>
        <top style="thin">
          <color rgb="FF808285"/>
        </top>
        <bottom style="thin">
          <color rgb="FF808285"/>
        </bottom>
        <vertical/>
        <horizontal style="thin">
          <color rgb="FF808285"/>
        </horizontal>
      </border>
    </dxf>
    <dxf>
      <font>
        <color rgb="FF455560"/>
        <name val="Aptos"/>
      </font>
      <fill>
        <patternFill patternType="solid">
          <fgColor indexed="64"/>
          <bgColor rgb="FFFFFFFF"/>
        </patternFill>
      </fill>
    </dxf>
    <dxf>
      <border>
        <bottom style="thin">
          <color rgb="FFFFFFFF"/>
        </bottom>
      </border>
    </dxf>
    <dxf>
      <font>
        <b/>
        <color rgb="FFFFFFFF"/>
        <name val="Aptos"/>
      </font>
      <fill>
        <patternFill patternType="solid">
          <fgColor indexed="64"/>
          <bgColor rgb="FFF40009"/>
        </patternFill>
      </fill>
      <alignment horizontal="center" vertical="center" wrapText="1"/>
      <border>
        <left/>
        <right/>
        <top/>
        <bottom/>
        <vertical/>
        <horizontal/>
      </border>
    </dxf>
    <dxf>
      <font>
        <b/>
        <color rgb="FFFFFFFF"/>
      </font>
      <fill>
        <patternFill patternType="solid">
          <fgColor rgb="FFF40009"/>
          <bgColor rgb="FFF40009"/>
        </patternFill>
      </fill>
    </dxf>
    <dxf>
      <border>
        <left/>
        <right/>
        <top/>
        <bottom style="thin">
          <color rgb="FF808285"/>
        </bottom>
        <horizontal style="thin">
          <color rgb="FF808285"/>
        </horizontal>
      </border>
    </dxf>
  </dxfs>
  <tableStyles count="1" defaultTableStyle="TableStyleMedium9" defaultPivotStyle="PivotStyleLight16">
    <tableStyle name="CCBA Red" pivot="0" count="2" xr9:uid="{00000000-0011-0000-FFFF-FFFF00000000}">
      <tableStyleElement type="wholeTable" dxfId="69"/>
      <tableStyleElement type="headerRow" dxfId="6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28650" cy="1143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3:T1473" totalsRowShown="0" headerRowDxfId="67" dataDxfId="65" headerRowBorderDxfId="66">
  <autoFilter ref="A3:T1473" xr:uid="{00000000-0009-0000-0100-000001000000}"/>
  <tableColumns count="20">
    <tableColumn id="1" xr3:uid="{00000000-0010-0000-0000-000001000000}" name="Period" dataDxfId="64"/>
    <tableColumn id="2" xr3:uid="{00000000-0010-0000-0000-000002000000}" name="Month" dataDxfId="63"/>
    <tableColumn id="3" xr3:uid="{00000000-0010-0000-0000-000003000000}" name="Region" dataDxfId="62"/>
    <tableColumn id="4" xr3:uid="{00000000-0010-0000-0000-000004000000}" name="Market" dataDxfId="61"/>
    <tableColumn id="5" xr3:uid="{00000000-0010-0000-0000-000005000000}" name="Channel" dataDxfId="60"/>
    <tableColumn id="6" xr3:uid="{00000000-0010-0000-0000-000006000000}" name="Category" dataDxfId="59"/>
    <tableColumn id="7" xr3:uid="{00000000-0010-0000-0000-000007000000}" name="Brand" dataDxfId="58"/>
    <tableColumn id="8" xr3:uid="{00000000-0010-0000-0000-000008000000}" name="Pack_Type" dataDxfId="57"/>
    <tableColumn id="9" xr3:uid="{00000000-0010-0000-0000-000009000000}" name="Volume_UC" dataDxfId="56"/>
    <tableColumn id="10" xr3:uid="{00000000-0010-0000-0000-00000A000000}" name="Volume_UC_PY" dataDxfId="55"/>
    <tableColumn id="11" xr3:uid="{00000000-0010-0000-0000-00000B000000}" name="Volume_UC_Plan" dataDxfId="54"/>
    <tableColumn id="12" xr3:uid="{00000000-0010-0000-0000-00000C000000}" name="Gross_Revenue_USDk" dataDxfId="53"/>
    <tableColumn id="13" xr3:uid="{00000000-0010-0000-0000-00000D000000}" name="Trade_Discounts_USDk" dataDxfId="52"/>
    <tableColumn id="14" xr3:uid="{00000000-0010-0000-0000-00000E000000}" name="Net_Revenue_USDk" dataDxfId="51">
      <calculatedColumnFormula>L4-M4</calculatedColumnFormula>
    </tableColumn>
    <tableColumn id="15" xr3:uid="{00000000-0010-0000-0000-00000F000000}" name="Net_Revenue_PY_USDk" dataDxfId="50"/>
    <tableColumn id="16" xr3:uid="{00000000-0010-0000-0000-000010000000}" name="Net_Revenue_Plan_USDk" dataDxfId="49"/>
    <tableColumn id="17" xr3:uid="{00000000-0010-0000-0000-000011000000}" name="COGS_USDk" dataDxfId="48"/>
    <tableColumn id="18" xr3:uid="{00000000-0010-0000-0000-000012000000}" name="Gross_Profit_USDk" dataDxfId="47">
      <calculatedColumnFormula>N4-Q4</calculatedColumnFormula>
    </tableColumn>
    <tableColumn id="19" xr3:uid="{00000000-0010-0000-0000-000013000000}" name="COGS_PY_USDk" dataDxfId="46"/>
    <tableColumn id="20" xr3:uid="{00000000-0010-0000-0000-000014000000}" name="Gross_Profit_PY_USDk" dataDxfId="45">
      <calculatedColumnFormula>O4-S4</calculatedColumnFormula>
    </tableColumn>
  </tableColumns>
  <tableStyleInfo name="CCBA Red"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utletData" displayName="OutletData" ref="A3:I108" totalsRowShown="0" headerRowDxfId="44" dataDxfId="42" headerRowBorderDxfId="43">
  <autoFilter ref="A3:I108" xr:uid="{00000000-0009-0000-0100-000002000000}"/>
  <tableColumns count="9">
    <tableColumn id="1" xr3:uid="{00000000-0010-0000-0100-000001000000}" name="Period" dataDxfId="41"/>
    <tableColumn id="2" xr3:uid="{00000000-0010-0000-0100-000002000000}" name="Month" dataDxfId="40"/>
    <tableColumn id="3" xr3:uid="{00000000-0010-0000-0100-000003000000}" name="Region" dataDxfId="39"/>
    <tableColumn id="4" xr3:uid="{00000000-0010-0000-0100-000004000000}" name="Market" dataDxfId="38"/>
    <tableColumn id="5" xr3:uid="{00000000-0010-0000-0100-000005000000}" name="Channel" dataDxfId="37"/>
    <tableColumn id="6" xr3:uid="{00000000-0010-0000-0100-000006000000}" name="Active_Outlets" dataDxfId="36"/>
    <tableColumn id="7" xr3:uid="{00000000-0010-0000-0100-000007000000}" name="Active_Outlets_PY" dataDxfId="35"/>
    <tableColumn id="8" xr3:uid="{00000000-0010-0000-0100-000008000000}" name="Coolers_Placed" dataDxfId="34"/>
    <tableColumn id="9" xr3:uid="{00000000-0010-0000-0100-000009000000}" name="Coolers_Placed_PY" dataDxfId="33"/>
  </tableColumns>
  <tableStyleInfo name="CCBA Red"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Dictionary" displayName="DataDictionary" ref="A3:F32" totalsRowShown="0" headerRowDxfId="32" dataDxfId="30" headerRowBorderDxfId="31">
  <autoFilter ref="A3:F32" xr:uid="{00000000-0009-0000-0100-000003000000}"/>
  <tableColumns count="6">
    <tableColumn id="1" xr3:uid="{00000000-0010-0000-0200-000001000000}" name="Field" dataDxfId="29"/>
    <tableColumn id="2" xr3:uid="{00000000-0010-0000-0200-000002000000}" name="Table" dataDxfId="28"/>
    <tableColumn id="3" xr3:uid="{00000000-0010-0000-0200-000003000000}" name="Data_Type" dataDxfId="27"/>
    <tableColumn id="4" xr3:uid="{00000000-0010-0000-0200-000004000000}" name="Unit" dataDxfId="26"/>
    <tableColumn id="5" xr3:uid="{00000000-0010-0000-0200-000005000000}" name="Definition" dataDxfId="25"/>
    <tableColumn id="6" xr3:uid="{00000000-0010-0000-0200-000006000000}" name="How_to_Aggregate" dataDxfId="24"/>
  </tableColumns>
  <tableStyleInfo name="CCBA Red"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ookup_Markets" displayName="Lookup_Markets" ref="A4:D11" totalsRowShown="0" headerRowDxfId="23" dataDxfId="22">
  <autoFilter ref="A4:D11" xr:uid="{00000000-0009-0000-0100-000004000000}"/>
  <tableColumns count="4">
    <tableColumn id="1" xr3:uid="{00000000-0010-0000-0300-000001000000}" name="Market" dataDxfId="21"/>
    <tableColumn id="2" xr3:uid="{00000000-0010-0000-0300-000002000000}" name="Region" dataDxfId="20"/>
    <tableColumn id="3" xr3:uid="{00000000-0010-0000-0300-000003000000}" name="ISO_Code" dataDxfId="19"/>
    <tableColumn id="4" xr3:uid="{00000000-0010-0000-0300-000004000000}" name="Local_Currency" dataDxfId="18"/>
  </tableColumns>
  <tableStyleInfo name="CCBA Red"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ookup_Brands" displayName="Lookup_Brands" ref="F4:H17" totalsRowShown="0" headerRowDxfId="17" dataDxfId="16">
  <autoFilter ref="F4:H17" xr:uid="{00000000-0009-0000-0100-000005000000}"/>
  <tableColumns count="3">
    <tableColumn id="1" xr3:uid="{00000000-0010-0000-0400-000001000000}" name="Brand" dataDxfId="15"/>
    <tableColumn id="2" xr3:uid="{00000000-0010-0000-0400-000002000000}" name="Category" dataDxfId="14"/>
    <tableColumn id="3" xr3:uid="{00000000-0010-0000-0400-000003000000}" name="Segment" dataDxfId="13"/>
  </tableColumns>
  <tableStyleInfo name="CCBA Red"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ookup_Categories" displayName="Lookup_Categories" ref="J4:K10" totalsRowShown="0" headerRowDxfId="12" dataDxfId="11">
  <autoFilter ref="J4:K10" xr:uid="{00000000-0009-0000-0100-000006000000}"/>
  <tableColumns count="2">
    <tableColumn id="1" xr3:uid="{00000000-0010-0000-0500-000001000000}" name="Category" dataDxfId="10"/>
    <tableColumn id="2" xr3:uid="{00000000-0010-0000-0500-000002000000}" name="Description" dataDxfId="9"/>
  </tableColumns>
  <tableStyleInfo name="CCBA Red"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Lookup_Packs" displayName="Lookup_Packs" ref="A21:C25" totalsRowShown="0" headerRowDxfId="8" dataDxfId="7">
  <autoFilter ref="A21:C25" xr:uid="{00000000-0009-0000-0100-000007000000}"/>
  <tableColumns count="3">
    <tableColumn id="1" xr3:uid="{00000000-0010-0000-0600-000001000000}" name="Pack_Type" dataDxfId="6"/>
    <tableColumn id="2" xr3:uid="{00000000-0010-0000-0600-000002000000}" name="Description" dataDxfId="5"/>
    <tableColumn id="3" xr3:uid="{00000000-0010-0000-0600-000003000000}" name="Returnable" dataDxfId="4"/>
  </tableColumns>
  <tableStyleInfo name="CCBA Red"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Lookup_Channels" displayName="Lookup_Channels" ref="F21:G26" totalsRowShown="0" headerRowDxfId="3" dataDxfId="2">
  <autoFilter ref="F21:G26" xr:uid="{00000000-0009-0000-0100-000008000000}"/>
  <tableColumns count="2">
    <tableColumn id="1" xr3:uid="{00000000-0010-0000-0700-000001000000}" name="Channel" dataDxfId="1"/>
    <tableColumn id="2" xr3:uid="{00000000-0010-0000-0700-000002000000}" name="Description" dataDxfId="0"/>
  </tableColumns>
  <tableStyleInfo name="CCBA Red"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40009"/>
  </sheetPr>
  <dimension ref="A8:B32"/>
  <sheetViews>
    <sheetView showGridLines="0" workbookViewId="0">
      <pane ySplit="10" topLeftCell="A11" activePane="bottomLeft" state="frozen"/>
      <selection pane="bottomLeft" activeCell="B24" sqref="B24"/>
    </sheetView>
  </sheetViews>
  <sheetFormatPr defaultRowHeight="14.5" x14ac:dyDescent="0.35"/>
  <cols>
    <col min="1" max="1" width="30.7265625" customWidth="1"/>
    <col min="2" max="2" width="115.7265625" customWidth="1"/>
  </cols>
  <sheetData>
    <row r="8" spans="1:2" ht="27.75" customHeight="1" x14ac:dyDescent="0.35">
      <c r="A8" s="38" t="s">
        <v>0</v>
      </c>
      <c r="B8" s="39"/>
    </row>
    <row r="9" spans="1:2" x14ac:dyDescent="0.35">
      <c r="A9" s="36" t="s">
        <v>1</v>
      </c>
      <c r="B9" s="37"/>
    </row>
    <row r="10" spans="1:2" x14ac:dyDescent="0.35">
      <c r="A10" s="5" t="s">
        <v>2</v>
      </c>
      <c r="B10" s="5" t="s">
        <v>3</v>
      </c>
    </row>
    <row r="11" spans="1:2" ht="43.5" customHeight="1" x14ac:dyDescent="0.35">
      <c r="A11" s="20" t="s">
        <v>4</v>
      </c>
      <c r="B11" s="21" t="s">
        <v>5</v>
      </c>
    </row>
    <row r="12" spans="1:2" ht="43.5" customHeight="1" x14ac:dyDescent="0.35">
      <c r="A12" s="25" t="s">
        <v>6</v>
      </c>
      <c r="B12" s="27" t="s">
        <v>7</v>
      </c>
    </row>
    <row r="13" spans="1:2" ht="29.25" customHeight="1" x14ac:dyDescent="0.35">
      <c r="A13" s="25" t="s">
        <v>8</v>
      </c>
      <c r="B13" s="27" t="s">
        <v>9</v>
      </c>
    </row>
    <row r="14" spans="1:2" ht="29.25" customHeight="1" x14ac:dyDescent="0.35">
      <c r="A14" s="25" t="s">
        <v>10</v>
      </c>
      <c r="B14" s="27" t="s">
        <v>11</v>
      </c>
    </row>
    <row r="15" spans="1:2" ht="29.25" customHeight="1" x14ac:dyDescent="0.35">
      <c r="A15" s="25" t="s">
        <v>12</v>
      </c>
      <c r="B15" s="27" t="s">
        <v>13</v>
      </c>
    </row>
    <row r="16" spans="1:2" x14ac:dyDescent="0.35">
      <c r="A16" s="25" t="s">
        <v>14</v>
      </c>
      <c r="B16" s="27" t="s">
        <v>15</v>
      </c>
    </row>
    <row r="17" spans="1:2" x14ac:dyDescent="0.35">
      <c r="A17" s="25" t="s">
        <v>16</v>
      </c>
      <c r="B17" s="27" t="s">
        <v>17</v>
      </c>
    </row>
    <row r="18" spans="1:2" ht="29.25" customHeight="1" x14ac:dyDescent="0.35">
      <c r="A18" s="25" t="s">
        <v>18</v>
      </c>
      <c r="B18" s="27" t="s">
        <v>19</v>
      </c>
    </row>
    <row r="19" spans="1:2" ht="43.5" customHeight="1" x14ac:dyDescent="0.35">
      <c r="A19" s="25" t="s">
        <v>20</v>
      </c>
      <c r="B19" s="27" t="s">
        <v>21</v>
      </c>
    </row>
    <row r="20" spans="1:2" x14ac:dyDescent="0.35">
      <c r="A20" s="25" t="s">
        <v>22</v>
      </c>
      <c r="B20" s="27" t="s">
        <v>23</v>
      </c>
    </row>
    <row r="21" spans="1:2" ht="29.25" customHeight="1" x14ac:dyDescent="0.35">
      <c r="A21" s="25" t="s">
        <v>24</v>
      </c>
      <c r="B21" s="27" t="s">
        <v>25</v>
      </c>
    </row>
    <row r="22" spans="1:2" ht="43.5" customHeight="1" x14ac:dyDescent="0.35">
      <c r="A22" s="25" t="s">
        <v>26</v>
      </c>
      <c r="B22" s="27" t="s">
        <v>27</v>
      </c>
    </row>
    <row r="23" spans="1:2" ht="29.25" customHeight="1" x14ac:dyDescent="0.35">
      <c r="A23" s="28" t="s">
        <v>28</v>
      </c>
      <c r="B23" s="29" t="s">
        <v>29</v>
      </c>
    </row>
    <row r="24" spans="1:2" x14ac:dyDescent="0.35">
      <c r="A24" s="30" t="s">
        <v>30</v>
      </c>
      <c r="B24" s="30" t="s">
        <v>31</v>
      </c>
    </row>
    <row r="25" spans="1:2" x14ac:dyDescent="0.35">
      <c r="A25" s="26" t="s">
        <v>32</v>
      </c>
      <c r="B25" s="31" t="e">
        <f>ROWS(SalesData)</f>
        <v>#NAME?</v>
      </c>
    </row>
    <row r="26" spans="1:2" x14ac:dyDescent="0.35">
      <c r="A26" s="26" t="s">
        <v>33</v>
      </c>
      <c r="B26" s="31">
        <f>SUMPRODUCT(--(SalesData[Volume_UC]&lt;=SalesData[Volume_UC_PY]))</f>
        <v>0</v>
      </c>
    </row>
    <row r="27" spans="1:2" x14ac:dyDescent="0.35">
      <c r="A27" s="26" t="s">
        <v>34</v>
      </c>
      <c r="B27" s="31">
        <f>SUMPRODUCT(--(SalesData[Volume_UC]&lt;=SalesData[Volume_UC_Plan]))</f>
        <v>0</v>
      </c>
    </row>
    <row r="28" spans="1:2" x14ac:dyDescent="0.35">
      <c r="A28" s="26" t="s">
        <v>35</v>
      </c>
      <c r="B28" s="31">
        <f>SUMPRODUCT(--(SalesData[Net_Revenue_USDk]&lt;=SalesData[Net_Revenue_PY_USDk]))</f>
        <v>0</v>
      </c>
    </row>
    <row r="29" spans="1:2" x14ac:dyDescent="0.35">
      <c r="A29" s="26" t="s">
        <v>36</v>
      </c>
      <c r="B29" s="31">
        <f>SUMPRODUCT(--(SalesData[Net_Revenue_USDk]&lt;=SalesData[Net_Revenue_Plan_USDk]))</f>
        <v>0</v>
      </c>
    </row>
    <row r="30" spans="1:2" x14ac:dyDescent="0.35">
      <c r="A30" s="26" t="s">
        <v>37</v>
      </c>
      <c r="B30" s="31">
        <f>SUMPRODUCT(--(SalesData[Gross_Profit_USDk]&lt;=SalesData[Gross_Profit_PY_USDk]))</f>
        <v>0</v>
      </c>
    </row>
    <row r="31" spans="1:2" x14ac:dyDescent="0.35">
      <c r="A31" s="26" t="s">
        <v>38</v>
      </c>
      <c r="B31" s="31">
        <f>SUMPRODUCT(--ISERROR(SalesData[Net_Revenue_USDk]))+SUMPRODUCT(--ISERROR(SalesData[Gross_Profit_USDk]))+SUMPRODUCT(--ISERROR(SalesData[Gross_Profit_PY_USDk]))</f>
        <v>0</v>
      </c>
    </row>
    <row r="32" spans="1:2" x14ac:dyDescent="0.35">
      <c r="A32" s="26" t="s">
        <v>39</v>
      </c>
      <c r="B32" s="31">
        <f>SUMPRODUCT(--(OutletData[Active_Outlets]&lt;=OutletData[Active_Outlets_PY]))</f>
        <v>0</v>
      </c>
    </row>
  </sheetData>
  <mergeCells count="2">
    <mergeCell ref="A9:B9"/>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40009"/>
  </sheetPr>
  <dimension ref="A1:T1473"/>
  <sheetViews>
    <sheetView workbookViewId="0">
      <pane ySplit="3" topLeftCell="A4" activePane="bottomLeft" state="frozen"/>
      <selection pane="bottomLeft" sqref="A1:T1"/>
    </sheetView>
  </sheetViews>
  <sheetFormatPr defaultRowHeight="14.5" x14ac:dyDescent="0.35"/>
  <cols>
    <col min="1" max="1" width="9.7265625" customWidth="1"/>
    <col min="2" max="2" width="8.7265625" customWidth="1"/>
    <col min="3" max="3" width="16.7265625" customWidth="1"/>
    <col min="4" max="4" width="13.7265625" customWidth="1"/>
    <col min="5" max="5" width="21.7265625" customWidth="1"/>
    <col min="6" max="6" width="11.7265625" customWidth="1"/>
    <col min="7" max="7" width="20.7265625" customWidth="1"/>
    <col min="8" max="8" width="15.7265625" customWidth="1"/>
    <col min="9" max="10" width="13.7265625" customWidth="1"/>
    <col min="11" max="11" width="14.7265625" customWidth="1"/>
    <col min="12" max="16" width="15.7265625" customWidth="1"/>
    <col min="17" max="17" width="13.7265625" customWidth="1"/>
    <col min="18" max="18" width="15.7265625" customWidth="1"/>
    <col min="19" max="19" width="13.7265625" customWidth="1"/>
    <col min="20" max="20" width="15.7265625" customWidth="1"/>
  </cols>
  <sheetData>
    <row r="1" spans="1:20" ht="27.75" customHeight="1" x14ac:dyDescent="0.35">
      <c r="A1" s="38" t="s">
        <v>40</v>
      </c>
      <c r="B1" s="39"/>
      <c r="C1" s="39"/>
      <c r="D1" s="39"/>
      <c r="E1" s="39"/>
      <c r="F1" s="39"/>
      <c r="G1" s="39"/>
      <c r="H1" s="39"/>
      <c r="I1" s="39"/>
      <c r="J1" s="39"/>
      <c r="K1" s="39"/>
      <c r="L1" s="39"/>
      <c r="M1" s="39"/>
      <c r="N1" s="39"/>
      <c r="O1" s="39"/>
      <c r="P1" s="39"/>
      <c r="Q1" s="39"/>
      <c r="R1" s="39"/>
      <c r="S1" s="39"/>
      <c r="T1" s="39"/>
    </row>
    <row r="2" spans="1:20" x14ac:dyDescent="0.35">
      <c r="A2" s="40" t="s">
        <v>41</v>
      </c>
      <c r="B2" s="39"/>
      <c r="C2" s="39"/>
      <c r="D2" s="39"/>
      <c r="E2" s="39"/>
      <c r="F2" s="39"/>
      <c r="G2" s="39"/>
      <c r="H2" s="39"/>
      <c r="I2" s="39"/>
      <c r="J2" s="39"/>
      <c r="K2" s="39"/>
      <c r="L2" s="39"/>
      <c r="M2" s="39"/>
      <c r="N2" s="39"/>
      <c r="O2" s="39"/>
      <c r="P2" s="39"/>
      <c r="Q2" s="39"/>
      <c r="R2" s="39"/>
      <c r="S2" s="39"/>
      <c r="T2" s="39"/>
    </row>
    <row r="3" spans="1:20" ht="32.25" customHeight="1" x14ac:dyDescent="0.35">
      <c r="A3" s="8" t="s">
        <v>42</v>
      </c>
      <c r="B3" s="4" t="s">
        <v>43</v>
      </c>
      <c r="C3" s="4" t="s">
        <v>44</v>
      </c>
      <c r="D3" s="4" t="s">
        <v>45</v>
      </c>
      <c r="E3" s="4" t="s">
        <v>46</v>
      </c>
      <c r="F3" s="4" t="s">
        <v>47</v>
      </c>
      <c r="G3" s="4" t="s">
        <v>48</v>
      </c>
      <c r="H3" s="4" t="s">
        <v>49</v>
      </c>
      <c r="I3" s="4" t="s">
        <v>50</v>
      </c>
      <c r="J3" s="4" t="s">
        <v>51</v>
      </c>
      <c r="K3" s="4" t="s">
        <v>52</v>
      </c>
      <c r="L3" s="4" t="s">
        <v>53</v>
      </c>
      <c r="M3" s="4" t="s">
        <v>54</v>
      </c>
      <c r="N3" s="4" t="s">
        <v>55</v>
      </c>
      <c r="O3" s="4" t="s">
        <v>56</v>
      </c>
      <c r="P3" s="4" t="s">
        <v>57</v>
      </c>
      <c r="Q3" s="4" t="s">
        <v>58</v>
      </c>
      <c r="R3" s="4" t="s">
        <v>59</v>
      </c>
      <c r="S3" s="4" t="s">
        <v>60</v>
      </c>
      <c r="T3" s="9" t="s">
        <v>61</v>
      </c>
    </row>
    <row r="4" spans="1:20" x14ac:dyDescent="0.35">
      <c r="A4" s="10" t="s">
        <v>62</v>
      </c>
      <c r="B4" s="11" t="s">
        <v>63</v>
      </c>
      <c r="C4" s="11" t="s">
        <v>64</v>
      </c>
      <c r="D4" s="11" t="s">
        <v>65</v>
      </c>
      <c r="E4" s="11" t="s">
        <v>66</v>
      </c>
      <c r="F4" s="11" t="s">
        <v>67</v>
      </c>
      <c r="G4" s="11" t="s">
        <v>68</v>
      </c>
      <c r="H4" s="11" t="s">
        <v>69</v>
      </c>
      <c r="I4" s="12">
        <v>234534</v>
      </c>
      <c r="J4" s="12">
        <v>220655</v>
      </c>
      <c r="K4" s="12">
        <v>232673</v>
      </c>
      <c r="L4" s="13">
        <v>1501.2</v>
      </c>
      <c r="M4" s="13">
        <v>224.6</v>
      </c>
      <c r="N4" s="13">
        <f t="shared" ref="N4:N67" si="0">L4-M4</f>
        <v>1276.6000000000001</v>
      </c>
      <c r="O4" s="13">
        <v>1137.8</v>
      </c>
      <c r="P4" s="13">
        <v>1250.2</v>
      </c>
      <c r="Q4" s="13">
        <v>716.5</v>
      </c>
      <c r="R4" s="13">
        <f t="shared" ref="R4:R67" si="1">N4-Q4</f>
        <v>560.10000000000014</v>
      </c>
      <c r="S4" s="13">
        <v>644.5</v>
      </c>
      <c r="T4" s="13">
        <f t="shared" ref="T4:T67" si="2">O4-S4</f>
        <v>493.29999999999995</v>
      </c>
    </row>
    <row r="5" spans="1:20" x14ac:dyDescent="0.35">
      <c r="A5" s="14" t="s">
        <v>62</v>
      </c>
      <c r="B5" s="15" t="s">
        <v>63</v>
      </c>
      <c r="C5" s="15" t="s">
        <v>64</v>
      </c>
      <c r="D5" s="15" t="s">
        <v>65</v>
      </c>
      <c r="E5" s="15" t="s">
        <v>66</v>
      </c>
      <c r="F5" s="15" t="s">
        <v>67</v>
      </c>
      <c r="G5" s="15" t="s">
        <v>68</v>
      </c>
      <c r="H5" s="15" t="s">
        <v>70</v>
      </c>
      <c r="I5" s="16">
        <v>503084</v>
      </c>
      <c r="J5" s="16">
        <v>463504</v>
      </c>
      <c r="K5" s="16">
        <v>497741</v>
      </c>
      <c r="L5" s="17">
        <v>3560.9</v>
      </c>
      <c r="M5" s="17">
        <v>521.4</v>
      </c>
      <c r="N5" s="17">
        <f t="shared" si="0"/>
        <v>3039.5</v>
      </c>
      <c r="O5" s="17">
        <v>2666.7</v>
      </c>
      <c r="P5" s="17">
        <v>2949.3</v>
      </c>
      <c r="Q5" s="17">
        <v>1714.6</v>
      </c>
      <c r="R5" s="17">
        <f t="shared" si="1"/>
        <v>1324.9</v>
      </c>
      <c r="S5" s="17">
        <v>1527.2</v>
      </c>
      <c r="T5" s="17">
        <f t="shared" si="2"/>
        <v>1139.4999999999998</v>
      </c>
    </row>
    <row r="6" spans="1:20" x14ac:dyDescent="0.35">
      <c r="A6" s="14" t="s">
        <v>62</v>
      </c>
      <c r="B6" s="15" t="s">
        <v>63</v>
      </c>
      <c r="C6" s="15" t="s">
        <v>64</v>
      </c>
      <c r="D6" s="15" t="s">
        <v>65</v>
      </c>
      <c r="E6" s="15" t="s">
        <v>66</v>
      </c>
      <c r="F6" s="15" t="s">
        <v>67</v>
      </c>
      <c r="G6" s="15" t="s">
        <v>68</v>
      </c>
      <c r="H6" s="15" t="s">
        <v>71</v>
      </c>
      <c r="I6" s="16">
        <v>1271327</v>
      </c>
      <c r="J6" s="16">
        <v>1197561</v>
      </c>
      <c r="K6" s="16">
        <v>1258119</v>
      </c>
      <c r="L6" s="17">
        <v>11440.3</v>
      </c>
      <c r="M6" s="17">
        <v>1671.3</v>
      </c>
      <c r="N6" s="17">
        <f t="shared" si="0"/>
        <v>9769</v>
      </c>
      <c r="O6" s="17">
        <v>8813.1</v>
      </c>
      <c r="P6" s="17">
        <v>9537.5</v>
      </c>
      <c r="Q6" s="17">
        <v>6133.2</v>
      </c>
      <c r="R6" s="17">
        <f t="shared" si="1"/>
        <v>3635.8</v>
      </c>
      <c r="S6" s="17">
        <v>5650.5</v>
      </c>
      <c r="T6" s="17">
        <f t="shared" si="2"/>
        <v>3162.6000000000004</v>
      </c>
    </row>
    <row r="7" spans="1:20" x14ac:dyDescent="0.35">
      <c r="A7" s="14" t="s">
        <v>62</v>
      </c>
      <c r="B7" s="15" t="s">
        <v>63</v>
      </c>
      <c r="C7" s="15" t="s">
        <v>64</v>
      </c>
      <c r="D7" s="15" t="s">
        <v>65</v>
      </c>
      <c r="E7" s="15" t="s">
        <v>66</v>
      </c>
      <c r="F7" s="15" t="s">
        <v>67</v>
      </c>
      <c r="G7" s="15" t="s">
        <v>68</v>
      </c>
      <c r="H7" s="15" t="s">
        <v>72</v>
      </c>
      <c r="I7" s="16">
        <v>457872</v>
      </c>
      <c r="J7" s="16">
        <v>419845</v>
      </c>
      <c r="K7" s="16">
        <v>453538</v>
      </c>
      <c r="L7" s="17">
        <v>5735.8</v>
      </c>
      <c r="M7" s="17">
        <v>805.2</v>
      </c>
      <c r="N7" s="17">
        <f t="shared" si="0"/>
        <v>4930.6000000000004</v>
      </c>
      <c r="O7" s="17">
        <v>4315.5</v>
      </c>
      <c r="P7" s="17">
        <v>4828.3</v>
      </c>
      <c r="Q7" s="17">
        <v>3177.4</v>
      </c>
      <c r="R7" s="17">
        <f t="shared" si="1"/>
        <v>1753.2000000000003</v>
      </c>
      <c r="S7" s="17">
        <v>2815.5</v>
      </c>
      <c r="T7" s="17">
        <f t="shared" si="2"/>
        <v>1500</v>
      </c>
    </row>
    <row r="8" spans="1:20" x14ac:dyDescent="0.35">
      <c r="A8" s="14" t="s">
        <v>62</v>
      </c>
      <c r="B8" s="15" t="s">
        <v>63</v>
      </c>
      <c r="C8" s="15" t="s">
        <v>64</v>
      </c>
      <c r="D8" s="15" t="s">
        <v>65</v>
      </c>
      <c r="E8" s="15" t="s">
        <v>66</v>
      </c>
      <c r="F8" s="15" t="s">
        <v>67</v>
      </c>
      <c r="G8" s="15" t="s">
        <v>73</v>
      </c>
      <c r="H8" s="15" t="s">
        <v>71</v>
      </c>
      <c r="I8" s="16">
        <v>345839</v>
      </c>
      <c r="J8" s="16">
        <v>295026</v>
      </c>
      <c r="K8" s="16">
        <v>340202</v>
      </c>
      <c r="L8" s="17">
        <v>3095.5</v>
      </c>
      <c r="M8" s="17">
        <v>431.8</v>
      </c>
      <c r="N8" s="17">
        <f t="shared" si="0"/>
        <v>2663.7</v>
      </c>
      <c r="O8" s="17">
        <v>2176.1999999999998</v>
      </c>
      <c r="P8" s="17">
        <v>2624.3</v>
      </c>
      <c r="Q8" s="17">
        <v>1619.5</v>
      </c>
      <c r="R8" s="17">
        <f t="shared" si="1"/>
        <v>1044.1999999999998</v>
      </c>
      <c r="S8" s="17">
        <v>1350.3</v>
      </c>
      <c r="T8" s="17">
        <f t="shared" si="2"/>
        <v>825.89999999999986</v>
      </c>
    </row>
    <row r="9" spans="1:20" x14ac:dyDescent="0.35">
      <c r="A9" s="14" t="s">
        <v>62</v>
      </c>
      <c r="B9" s="15" t="s">
        <v>63</v>
      </c>
      <c r="C9" s="15" t="s">
        <v>64</v>
      </c>
      <c r="D9" s="15" t="s">
        <v>65</v>
      </c>
      <c r="E9" s="15" t="s">
        <v>66</v>
      </c>
      <c r="F9" s="15" t="s">
        <v>67</v>
      </c>
      <c r="G9" s="15" t="s">
        <v>73</v>
      </c>
      <c r="H9" s="15" t="s">
        <v>72</v>
      </c>
      <c r="I9" s="16">
        <v>143207</v>
      </c>
      <c r="J9" s="16">
        <v>121645</v>
      </c>
      <c r="K9" s="16">
        <v>140580</v>
      </c>
      <c r="L9" s="17">
        <v>1775.6</v>
      </c>
      <c r="M9" s="17">
        <v>232.9</v>
      </c>
      <c r="N9" s="17">
        <f t="shared" si="0"/>
        <v>1542.6999999999998</v>
      </c>
      <c r="O9" s="17">
        <v>1258.3</v>
      </c>
      <c r="P9" s="17">
        <v>1513.8</v>
      </c>
      <c r="Q9" s="17">
        <v>965.2</v>
      </c>
      <c r="R9" s="17">
        <f t="shared" si="1"/>
        <v>577.49999999999977</v>
      </c>
      <c r="S9" s="17">
        <v>797.5</v>
      </c>
      <c r="T9" s="17">
        <f t="shared" si="2"/>
        <v>460.79999999999995</v>
      </c>
    </row>
    <row r="10" spans="1:20" x14ac:dyDescent="0.35">
      <c r="A10" s="14" t="s">
        <v>62</v>
      </c>
      <c r="B10" s="15" t="s">
        <v>63</v>
      </c>
      <c r="C10" s="15" t="s">
        <v>64</v>
      </c>
      <c r="D10" s="15" t="s">
        <v>65</v>
      </c>
      <c r="E10" s="15" t="s">
        <v>66</v>
      </c>
      <c r="F10" s="15" t="s">
        <v>67</v>
      </c>
      <c r="G10" s="15" t="s">
        <v>74</v>
      </c>
      <c r="H10" s="15" t="s">
        <v>70</v>
      </c>
      <c r="I10" s="16">
        <v>245917</v>
      </c>
      <c r="J10" s="16">
        <v>227196</v>
      </c>
      <c r="K10" s="16">
        <v>243965</v>
      </c>
      <c r="L10" s="17">
        <v>1761.4</v>
      </c>
      <c r="M10" s="17">
        <v>259.89999999999998</v>
      </c>
      <c r="N10" s="17">
        <f t="shared" si="0"/>
        <v>1501.5</v>
      </c>
      <c r="O10" s="17">
        <v>1312.3</v>
      </c>
      <c r="P10" s="17">
        <v>1479.3</v>
      </c>
      <c r="Q10" s="17">
        <v>873.5</v>
      </c>
      <c r="R10" s="17">
        <f t="shared" si="1"/>
        <v>628</v>
      </c>
      <c r="S10" s="17">
        <v>781.4</v>
      </c>
      <c r="T10" s="17">
        <f t="shared" si="2"/>
        <v>530.9</v>
      </c>
    </row>
    <row r="11" spans="1:20" x14ac:dyDescent="0.35">
      <c r="A11" s="14" t="s">
        <v>62</v>
      </c>
      <c r="B11" s="15" t="s">
        <v>63</v>
      </c>
      <c r="C11" s="15" t="s">
        <v>64</v>
      </c>
      <c r="D11" s="15" t="s">
        <v>65</v>
      </c>
      <c r="E11" s="15" t="s">
        <v>66</v>
      </c>
      <c r="F11" s="15" t="s">
        <v>67</v>
      </c>
      <c r="G11" s="15" t="s">
        <v>74</v>
      </c>
      <c r="H11" s="15" t="s">
        <v>71</v>
      </c>
      <c r="I11" s="16">
        <v>501736</v>
      </c>
      <c r="J11" s="16">
        <v>462873</v>
      </c>
      <c r="K11" s="16">
        <v>494783</v>
      </c>
      <c r="L11" s="17">
        <v>4520</v>
      </c>
      <c r="M11" s="17">
        <v>628.1</v>
      </c>
      <c r="N11" s="17">
        <f t="shared" si="0"/>
        <v>3891.9</v>
      </c>
      <c r="O11" s="17">
        <v>3398.8</v>
      </c>
      <c r="P11" s="17">
        <v>3786.5</v>
      </c>
      <c r="Q11" s="17">
        <v>2441.3000000000002</v>
      </c>
      <c r="R11" s="17">
        <f t="shared" si="1"/>
        <v>1450.6</v>
      </c>
      <c r="S11" s="17">
        <v>2154.9</v>
      </c>
      <c r="T11" s="17">
        <f t="shared" si="2"/>
        <v>1243.9000000000001</v>
      </c>
    </row>
    <row r="12" spans="1:20" x14ac:dyDescent="0.35">
      <c r="A12" s="14" t="s">
        <v>62</v>
      </c>
      <c r="B12" s="15" t="s">
        <v>63</v>
      </c>
      <c r="C12" s="15" t="s">
        <v>64</v>
      </c>
      <c r="D12" s="15" t="s">
        <v>65</v>
      </c>
      <c r="E12" s="15" t="s">
        <v>66</v>
      </c>
      <c r="F12" s="15" t="s">
        <v>67</v>
      </c>
      <c r="G12" s="15" t="s">
        <v>75</v>
      </c>
      <c r="H12" s="15" t="s">
        <v>71</v>
      </c>
      <c r="I12" s="16">
        <v>357123</v>
      </c>
      <c r="J12" s="16">
        <v>331806</v>
      </c>
      <c r="K12" s="16">
        <v>352376</v>
      </c>
      <c r="L12" s="17">
        <v>3217</v>
      </c>
      <c r="M12" s="17">
        <v>445.3</v>
      </c>
      <c r="N12" s="17">
        <f t="shared" si="0"/>
        <v>2771.7</v>
      </c>
      <c r="O12" s="17">
        <v>2461.9</v>
      </c>
      <c r="P12" s="17">
        <v>2695.8</v>
      </c>
      <c r="Q12" s="17">
        <v>1703.8</v>
      </c>
      <c r="R12" s="17">
        <f t="shared" si="1"/>
        <v>1067.8999999999999</v>
      </c>
      <c r="S12" s="17">
        <v>1543.6</v>
      </c>
      <c r="T12" s="17">
        <f t="shared" si="2"/>
        <v>918.30000000000018</v>
      </c>
    </row>
    <row r="13" spans="1:20" x14ac:dyDescent="0.35">
      <c r="A13" s="14" t="s">
        <v>62</v>
      </c>
      <c r="B13" s="15" t="s">
        <v>63</v>
      </c>
      <c r="C13" s="15" t="s">
        <v>64</v>
      </c>
      <c r="D13" s="15" t="s">
        <v>65</v>
      </c>
      <c r="E13" s="15" t="s">
        <v>66</v>
      </c>
      <c r="F13" s="15" t="s">
        <v>67</v>
      </c>
      <c r="G13" s="15" t="s">
        <v>76</v>
      </c>
      <c r="H13" s="15" t="s">
        <v>72</v>
      </c>
      <c r="I13" s="16">
        <v>103095</v>
      </c>
      <c r="J13" s="16">
        <v>92910</v>
      </c>
      <c r="K13" s="16">
        <v>102161</v>
      </c>
      <c r="L13" s="17">
        <v>1547</v>
      </c>
      <c r="M13" s="17">
        <v>229.9</v>
      </c>
      <c r="N13" s="17">
        <f t="shared" si="0"/>
        <v>1317.1</v>
      </c>
      <c r="O13" s="17">
        <v>1136.0999999999999</v>
      </c>
      <c r="P13" s="17">
        <v>1286.7</v>
      </c>
      <c r="Q13" s="17">
        <v>815.5</v>
      </c>
      <c r="R13" s="17">
        <f t="shared" si="1"/>
        <v>501.59999999999991</v>
      </c>
      <c r="S13" s="17">
        <v>718.9</v>
      </c>
      <c r="T13" s="17">
        <f t="shared" si="2"/>
        <v>417.19999999999993</v>
      </c>
    </row>
    <row r="14" spans="1:20" x14ac:dyDescent="0.35">
      <c r="A14" s="14" t="s">
        <v>62</v>
      </c>
      <c r="B14" s="15" t="s">
        <v>63</v>
      </c>
      <c r="C14" s="15" t="s">
        <v>64</v>
      </c>
      <c r="D14" s="15" t="s">
        <v>65</v>
      </c>
      <c r="E14" s="15" t="s">
        <v>66</v>
      </c>
      <c r="F14" s="15" t="s">
        <v>67</v>
      </c>
      <c r="G14" s="15" t="s">
        <v>77</v>
      </c>
      <c r="H14" s="15" t="s">
        <v>71</v>
      </c>
      <c r="I14" s="16">
        <v>189865</v>
      </c>
      <c r="J14" s="16">
        <v>177407</v>
      </c>
      <c r="K14" s="16">
        <v>188358</v>
      </c>
      <c r="L14" s="17">
        <v>1711</v>
      </c>
      <c r="M14" s="17">
        <v>251.1</v>
      </c>
      <c r="N14" s="17">
        <f t="shared" si="0"/>
        <v>1459.9</v>
      </c>
      <c r="O14" s="17">
        <v>1292</v>
      </c>
      <c r="P14" s="17">
        <v>1421.6</v>
      </c>
      <c r="Q14" s="17">
        <v>903.9</v>
      </c>
      <c r="R14" s="17">
        <f t="shared" si="1"/>
        <v>556.00000000000011</v>
      </c>
      <c r="S14" s="17">
        <v>818.9</v>
      </c>
      <c r="T14" s="17">
        <f t="shared" si="2"/>
        <v>473.1</v>
      </c>
    </row>
    <row r="15" spans="1:20" x14ac:dyDescent="0.35">
      <c r="A15" s="14" t="s">
        <v>62</v>
      </c>
      <c r="B15" s="15" t="s">
        <v>63</v>
      </c>
      <c r="C15" s="15" t="s">
        <v>64</v>
      </c>
      <c r="D15" s="15" t="s">
        <v>65</v>
      </c>
      <c r="E15" s="15" t="s">
        <v>66</v>
      </c>
      <c r="F15" s="15" t="s">
        <v>67</v>
      </c>
      <c r="G15" s="15" t="s">
        <v>78</v>
      </c>
      <c r="H15" s="15" t="s">
        <v>71</v>
      </c>
      <c r="I15" s="16">
        <v>283769</v>
      </c>
      <c r="J15" s="16">
        <v>263658</v>
      </c>
      <c r="K15" s="16">
        <v>278783</v>
      </c>
      <c r="L15" s="17">
        <v>2397</v>
      </c>
      <c r="M15" s="17">
        <v>336.6</v>
      </c>
      <c r="N15" s="17">
        <f t="shared" si="0"/>
        <v>2060.4</v>
      </c>
      <c r="O15" s="17">
        <v>1808.2</v>
      </c>
      <c r="P15" s="17">
        <v>2023.6</v>
      </c>
      <c r="Q15" s="17">
        <v>1292.3</v>
      </c>
      <c r="R15" s="17">
        <f t="shared" si="1"/>
        <v>768.10000000000014</v>
      </c>
      <c r="S15" s="17">
        <v>1147.5999999999999</v>
      </c>
      <c r="T15" s="17">
        <f t="shared" si="2"/>
        <v>660.60000000000014</v>
      </c>
    </row>
    <row r="16" spans="1:20" x14ac:dyDescent="0.35">
      <c r="A16" s="14" t="s">
        <v>62</v>
      </c>
      <c r="B16" s="15" t="s">
        <v>63</v>
      </c>
      <c r="C16" s="15" t="s">
        <v>64</v>
      </c>
      <c r="D16" s="15" t="s">
        <v>65</v>
      </c>
      <c r="E16" s="15" t="s">
        <v>66</v>
      </c>
      <c r="F16" s="15" t="s">
        <v>79</v>
      </c>
      <c r="G16" s="15" t="s">
        <v>80</v>
      </c>
      <c r="H16" s="15" t="s">
        <v>71</v>
      </c>
      <c r="I16" s="16">
        <v>409203</v>
      </c>
      <c r="J16" s="16">
        <v>373322</v>
      </c>
      <c r="K16" s="16">
        <v>404043</v>
      </c>
      <c r="L16" s="17">
        <v>2360.5</v>
      </c>
      <c r="M16" s="17">
        <v>334.8</v>
      </c>
      <c r="N16" s="17">
        <f t="shared" si="0"/>
        <v>2025.7</v>
      </c>
      <c r="O16" s="17">
        <v>1765</v>
      </c>
      <c r="P16" s="17">
        <v>1978.8</v>
      </c>
      <c r="Q16" s="17">
        <v>1245.7</v>
      </c>
      <c r="R16" s="17">
        <f t="shared" si="1"/>
        <v>780</v>
      </c>
      <c r="S16" s="17">
        <v>1110.4000000000001</v>
      </c>
      <c r="T16" s="17">
        <f t="shared" si="2"/>
        <v>654.59999999999991</v>
      </c>
    </row>
    <row r="17" spans="1:20" x14ac:dyDescent="0.35">
      <c r="A17" s="14" t="s">
        <v>62</v>
      </c>
      <c r="B17" s="15" t="s">
        <v>63</v>
      </c>
      <c r="C17" s="15" t="s">
        <v>64</v>
      </c>
      <c r="D17" s="15" t="s">
        <v>65</v>
      </c>
      <c r="E17" s="15" t="s">
        <v>66</v>
      </c>
      <c r="F17" s="15" t="s">
        <v>81</v>
      </c>
      <c r="G17" s="15" t="s">
        <v>82</v>
      </c>
      <c r="H17" s="15" t="s">
        <v>71</v>
      </c>
      <c r="I17" s="16">
        <v>128328</v>
      </c>
      <c r="J17" s="16">
        <v>115169</v>
      </c>
      <c r="K17" s="16">
        <v>126134</v>
      </c>
      <c r="L17" s="17">
        <v>1555.8</v>
      </c>
      <c r="M17" s="17">
        <v>221.3</v>
      </c>
      <c r="N17" s="17">
        <f t="shared" si="0"/>
        <v>1334.5</v>
      </c>
      <c r="O17" s="17">
        <v>1150.5999999999999</v>
      </c>
      <c r="P17" s="17">
        <v>1314.8</v>
      </c>
      <c r="Q17" s="17">
        <v>847.1</v>
      </c>
      <c r="R17" s="17">
        <f t="shared" si="1"/>
        <v>487.4</v>
      </c>
      <c r="S17" s="17">
        <v>744.2</v>
      </c>
      <c r="T17" s="17">
        <f t="shared" si="2"/>
        <v>406.39999999999986</v>
      </c>
    </row>
    <row r="18" spans="1:20" x14ac:dyDescent="0.35">
      <c r="A18" s="14" t="s">
        <v>62</v>
      </c>
      <c r="B18" s="15" t="s">
        <v>63</v>
      </c>
      <c r="C18" s="15" t="s">
        <v>64</v>
      </c>
      <c r="D18" s="15" t="s">
        <v>65</v>
      </c>
      <c r="E18" s="15" t="s">
        <v>66</v>
      </c>
      <c r="F18" s="15" t="s">
        <v>83</v>
      </c>
      <c r="G18" s="15" t="s">
        <v>84</v>
      </c>
      <c r="H18" s="15" t="s">
        <v>72</v>
      </c>
      <c r="I18" s="16">
        <v>116356</v>
      </c>
      <c r="J18" s="16">
        <v>95661</v>
      </c>
      <c r="K18" s="16">
        <v>114814</v>
      </c>
      <c r="L18" s="17">
        <v>4331.2</v>
      </c>
      <c r="M18" s="17">
        <v>594.29999999999995</v>
      </c>
      <c r="N18" s="17">
        <f t="shared" si="0"/>
        <v>3736.8999999999996</v>
      </c>
      <c r="O18" s="17">
        <v>2921.1</v>
      </c>
      <c r="P18" s="17">
        <v>3662.5</v>
      </c>
      <c r="Q18" s="17">
        <v>2178.3000000000002</v>
      </c>
      <c r="R18" s="17">
        <f t="shared" si="1"/>
        <v>1558.5999999999995</v>
      </c>
      <c r="S18" s="17">
        <v>1742.7</v>
      </c>
      <c r="T18" s="17">
        <f t="shared" si="2"/>
        <v>1178.3999999999999</v>
      </c>
    </row>
    <row r="19" spans="1:20" x14ac:dyDescent="0.35">
      <c r="A19" s="14" t="s">
        <v>62</v>
      </c>
      <c r="B19" s="15" t="s">
        <v>63</v>
      </c>
      <c r="C19" s="15" t="s">
        <v>64</v>
      </c>
      <c r="D19" s="15" t="s">
        <v>65</v>
      </c>
      <c r="E19" s="15" t="s">
        <v>66</v>
      </c>
      <c r="F19" s="15" t="s">
        <v>85</v>
      </c>
      <c r="G19" s="15" t="s">
        <v>86</v>
      </c>
      <c r="H19" s="15" t="s">
        <v>72</v>
      </c>
      <c r="I19" s="16">
        <v>69361</v>
      </c>
      <c r="J19" s="16">
        <v>62388</v>
      </c>
      <c r="K19" s="16">
        <v>68322</v>
      </c>
      <c r="L19" s="17">
        <v>1548.7</v>
      </c>
      <c r="M19" s="17">
        <v>219.6</v>
      </c>
      <c r="N19" s="17">
        <f t="shared" si="0"/>
        <v>1329.1000000000001</v>
      </c>
      <c r="O19" s="17">
        <v>1127.8</v>
      </c>
      <c r="P19" s="17">
        <v>1303.8</v>
      </c>
      <c r="Q19" s="17">
        <v>890.1</v>
      </c>
      <c r="R19" s="17">
        <f t="shared" si="1"/>
        <v>439.00000000000011</v>
      </c>
      <c r="S19" s="17">
        <v>772</v>
      </c>
      <c r="T19" s="17">
        <f t="shared" si="2"/>
        <v>355.79999999999995</v>
      </c>
    </row>
    <row r="20" spans="1:20" x14ac:dyDescent="0.35">
      <c r="A20" s="14" t="s">
        <v>62</v>
      </c>
      <c r="B20" s="15" t="s">
        <v>63</v>
      </c>
      <c r="C20" s="15" t="s">
        <v>64</v>
      </c>
      <c r="D20" s="15" t="s">
        <v>65</v>
      </c>
      <c r="E20" s="15" t="s">
        <v>66</v>
      </c>
      <c r="F20" s="15" t="s">
        <v>87</v>
      </c>
      <c r="G20" s="15" t="s">
        <v>88</v>
      </c>
      <c r="H20" s="15" t="s">
        <v>72</v>
      </c>
      <c r="I20" s="16">
        <v>29165</v>
      </c>
      <c r="J20" s="16">
        <v>24313</v>
      </c>
      <c r="K20" s="16">
        <v>28783</v>
      </c>
      <c r="L20" s="17">
        <v>904</v>
      </c>
      <c r="M20" s="17">
        <v>117.6</v>
      </c>
      <c r="N20" s="17">
        <f t="shared" si="0"/>
        <v>786.4</v>
      </c>
      <c r="O20" s="17">
        <v>622.9</v>
      </c>
      <c r="P20" s="17">
        <v>765</v>
      </c>
      <c r="Q20" s="17">
        <v>468.4</v>
      </c>
      <c r="R20" s="17">
        <f t="shared" si="1"/>
        <v>318</v>
      </c>
      <c r="S20" s="17">
        <v>373.8</v>
      </c>
      <c r="T20" s="17">
        <f t="shared" si="2"/>
        <v>249.09999999999997</v>
      </c>
    </row>
    <row r="21" spans="1:20" x14ac:dyDescent="0.35">
      <c r="A21" s="14" t="s">
        <v>62</v>
      </c>
      <c r="B21" s="15" t="s">
        <v>63</v>
      </c>
      <c r="C21" s="15" t="s">
        <v>64</v>
      </c>
      <c r="D21" s="15" t="s">
        <v>65</v>
      </c>
      <c r="E21" s="15" t="s">
        <v>89</v>
      </c>
      <c r="F21" s="15" t="s">
        <v>67</v>
      </c>
      <c r="G21" s="15" t="s">
        <v>68</v>
      </c>
      <c r="H21" s="15" t="s">
        <v>69</v>
      </c>
      <c r="I21" s="16">
        <v>1664010</v>
      </c>
      <c r="J21" s="16">
        <v>1611368</v>
      </c>
      <c r="K21" s="16">
        <v>1650804</v>
      </c>
      <c r="L21" s="17">
        <v>10209.4</v>
      </c>
      <c r="M21" s="17">
        <v>779.8</v>
      </c>
      <c r="N21" s="17">
        <f t="shared" si="0"/>
        <v>9429.6</v>
      </c>
      <c r="O21" s="17">
        <v>8772.2999999999993</v>
      </c>
      <c r="P21" s="17">
        <v>9263.7999999999993</v>
      </c>
      <c r="Q21" s="17">
        <v>5254.8</v>
      </c>
      <c r="R21" s="17">
        <f t="shared" si="1"/>
        <v>4174.8</v>
      </c>
      <c r="S21" s="17">
        <v>4965</v>
      </c>
      <c r="T21" s="17">
        <f t="shared" si="2"/>
        <v>3807.2999999999993</v>
      </c>
    </row>
    <row r="22" spans="1:20" x14ac:dyDescent="0.35">
      <c r="A22" s="14" t="s">
        <v>62</v>
      </c>
      <c r="B22" s="15" t="s">
        <v>63</v>
      </c>
      <c r="C22" s="15" t="s">
        <v>64</v>
      </c>
      <c r="D22" s="15" t="s">
        <v>65</v>
      </c>
      <c r="E22" s="15" t="s">
        <v>89</v>
      </c>
      <c r="F22" s="15" t="s">
        <v>67</v>
      </c>
      <c r="G22" s="15" t="s">
        <v>68</v>
      </c>
      <c r="H22" s="15" t="s">
        <v>70</v>
      </c>
      <c r="I22" s="16">
        <v>1677082</v>
      </c>
      <c r="J22" s="16">
        <v>1567575</v>
      </c>
      <c r="K22" s="16">
        <v>1662904</v>
      </c>
      <c r="L22" s="17">
        <v>11590.2</v>
      </c>
      <c r="M22" s="17">
        <v>698.4</v>
      </c>
      <c r="N22" s="17">
        <f t="shared" si="0"/>
        <v>10891.800000000001</v>
      </c>
      <c r="O22" s="17">
        <v>9624.1</v>
      </c>
      <c r="P22" s="17">
        <v>10633.7</v>
      </c>
      <c r="Q22" s="17">
        <v>6243</v>
      </c>
      <c r="R22" s="17">
        <f t="shared" si="1"/>
        <v>4648.8000000000011</v>
      </c>
      <c r="S22" s="17">
        <v>5622.4</v>
      </c>
      <c r="T22" s="17">
        <f t="shared" si="2"/>
        <v>4001.7000000000007</v>
      </c>
    </row>
    <row r="23" spans="1:20" x14ac:dyDescent="0.35">
      <c r="A23" s="14" t="s">
        <v>62</v>
      </c>
      <c r="B23" s="15" t="s">
        <v>63</v>
      </c>
      <c r="C23" s="15" t="s">
        <v>64</v>
      </c>
      <c r="D23" s="15" t="s">
        <v>65</v>
      </c>
      <c r="E23" s="15" t="s">
        <v>89</v>
      </c>
      <c r="F23" s="15" t="s">
        <v>67</v>
      </c>
      <c r="G23" s="15" t="s">
        <v>68</v>
      </c>
      <c r="H23" s="15" t="s">
        <v>71</v>
      </c>
      <c r="I23" s="16">
        <v>1708603</v>
      </c>
      <c r="J23" s="16">
        <v>1616072</v>
      </c>
      <c r="K23" s="16">
        <v>1695043</v>
      </c>
      <c r="L23" s="17">
        <v>15055.7</v>
      </c>
      <c r="M23" s="17">
        <v>973.5</v>
      </c>
      <c r="N23" s="17">
        <f t="shared" si="0"/>
        <v>14082.2</v>
      </c>
      <c r="O23" s="17">
        <v>12787.6</v>
      </c>
      <c r="P23" s="17">
        <v>13703.4</v>
      </c>
      <c r="Q23" s="17">
        <v>8609.7000000000007</v>
      </c>
      <c r="R23" s="17">
        <f t="shared" si="1"/>
        <v>5472.5</v>
      </c>
      <c r="S23" s="17">
        <v>7953.6</v>
      </c>
      <c r="T23" s="17">
        <f t="shared" si="2"/>
        <v>4834</v>
      </c>
    </row>
    <row r="24" spans="1:20" x14ac:dyDescent="0.35">
      <c r="A24" s="14" t="s">
        <v>62</v>
      </c>
      <c r="B24" s="15" t="s">
        <v>63</v>
      </c>
      <c r="C24" s="15" t="s">
        <v>64</v>
      </c>
      <c r="D24" s="15" t="s">
        <v>65</v>
      </c>
      <c r="E24" s="15" t="s">
        <v>89</v>
      </c>
      <c r="F24" s="15" t="s">
        <v>67</v>
      </c>
      <c r="G24" s="15" t="s">
        <v>68</v>
      </c>
      <c r="H24" s="15" t="s">
        <v>72</v>
      </c>
      <c r="I24" s="16">
        <v>350432</v>
      </c>
      <c r="J24" s="16">
        <v>325408</v>
      </c>
      <c r="K24" s="16">
        <v>344469</v>
      </c>
      <c r="L24" s="17">
        <v>4026.1</v>
      </c>
      <c r="M24" s="17">
        <v>244.8</v>
      </c>
      <c r="N24" s="17">
        <f t="shared" si="0"/>
        <v>3781.2999999999997</v>
      </c>
      <c r="O24" s="17">
        <v>3313.1</v>
      </c>
      <c r="P24" s="17">
        <v>3699.2</v>
      </c>
      <c r="Q24" s="17">
        <v>2414.5</v>
      </c>
      <c r="R24" s="17">
        <f t="shared" si="1"/>
        <v>1366.7999999999997</v>
      </c>
      <c r="S24" s="17">
        <v>2159.4</v>
      </c>
      <c r="T24" s="17">
        <f t="shared" si="2"/>
        <v>1153.6999999999998</v>
      </c>
    </row>
    <row r="25" spans="1:20" x14ac:dyDescent="0.35">
      <c r="A25" s="14" t="s">
        <v>62</v>
      </c>
      <c r="B25" s="15" t="s">
        <v>63</v>
      </c>
      <c r="C25" s="15" t="s">
        <v>64</v>
      </c>
      <c r="D25" s="15" t="s">
        <v>65</v>
      </c>
      <c r="E25" s="15" t="s">
        <v>89</v>
      </c>
      <c r="F25" s="15" t="s">
        <v>67</v>
      </c>
      <c r="G25" s="15" t="s">
        <v>73</v>
      </c>
      <c r="H25" s="15" t="s">
        <v>71</v>
      </c>
      <c r="I25" s="16">
        <v>385548</v>
      </c>
      <c r="J25" s="16">
        <v>339792</v>
      </c>
      <c r="K25" s="16">
        <v>380274</v>
      </c>
      <c r="L25" s="17">
        <v>3341.1</v>
      </c>
      <c r="M25" s="17">
        <v>260.5</v>
      </c>
      <c r="N25" s="17">
        <f t="shared" si="0"/>
        <v>3080.6</v>
      </c>
      <c r="O25" s="17">
        <v>2606.1999999999998</v>
      </c>
      <c r="P25" s="17">
        <v>3007.4</v>
      </c>
      <c r="Q25" s="17">
        <v>1921.8</v>
      </c>
      <c r="R25" s="17">
        <f t="shared" si="1"/>
        <v>1158.8</v>
      </c>
      <c r="S25" s="17">
        <v>1642</v>
      </c>
      <c r="T25" s="17">
        <f t="shared" si="2"/>
        <v>964.19999999999982</v>
      </c>
    </row>
    <row r="26" spans="1:20" x14ac:dyDescent="0.35">
      <c r="A26" s="14" t="s">
        <v>62</v>
      </c>
      <c r="B26" s="15" t="s">
        <v>63</v>
      </c>
      <c r="C26" s="15" t="s">
        <v>64</v>
      </c>
      <c r="D26" s="15" t="s">
        <v>65</v>
      </c>
      <c r="E26" s="15" t="s">
        <v>89</v>
      </c>
      <c r="F26" s="15" t="s">
        <v>67</v>
      </c>
      <c r="G26" s="15" t="s">
        <v>73</v>
      </c>
      <c r="H26" s="15" t="s">
        <v>72</v>
      </c>
      <c r="I26" s="16">
        <v>106258</v>
      </c>
      <c r="J26" s="16">
        <v>91243</v>
      </c>
      <c r="K26" s="16">
        <v>104402</v>
      </c>
      <c r="L26" s="17">
        <v>1250.8</v>
      </c>
      <c r="M26" s="17">
        <v>95.8</v>
      </c>
      <c r="N26" s="17">
        <f t="shared" si="0"/>
        <v>1155</v>
      </c>
      <c r="O26" s="17">
        <v>937.6</v>
      </c>
      <c r="P26" s="17">
        <v>1125.8</v>
      </c>
      <c r="Q26" s="17">
        <v>729.6</v>
      </c>
      <c r="R26" s="17">
        <f t="shared" si="1"/>
        <v>425.4</v>
      </c>
      <c r="S26" s="17">
        <v>601.79999999999995</v>
      </c>
      <c r="T26" s="17">
        <f t="shared" si="2"/>
        <v>335.80000000000007</v>
      </c>
    </row>
    <row r="27" spans="1:20" x14ac:dyDescent="0.35">
      <c r="A27" s="14" t="s">
        <v>62</v>
      </c>
      <c r="B27" s="15" t="s">
        <v>63</v>
      </c>
      <c r="C27" s="15" t="s">
        <v>64</v>
      </c>
      <c r="D27" s="15" t="s">
        <v>65</v>
      </c>
      <c r="E27" s="15" t="s">
        <v>89</v>
      </c>
      <c r="F27" s="15" t="s">
        <v>67</v>
      </c>
      <c r="G27" s="15" t="s">
        <v>74</v>
      </c>
      <c r="H27" s="15" t="s">
        <v>70</v>
      </c>
      <c r="I27" s="16">
        <v>774743</v>
      </c>
      <c r="J27" s="16">
        <v>730043</v>
      </c>
      <c r="K27" s="16">
        <v>768027</v>
      </c>
      <c r="L27" s="17">
        <v>5255.6</v>
      </c>
      <c r="M27" s="17">
        <v>382.3</v>
      </c>
      <c r="N27" s="17">
        <f t="shared" si="0"/>
        <v>4873.3</v>
      </c>
      <c r="O27" s="17">
        <v>4344.6000000000004</v>
      </c>
      <c r="P27" s="17">
        <v>4727.6000000000004</v>
      </c>
      <c r="Q27" s="17">
        <v>2732.3</v>
      </c>
      <c r="R27" s="17">
        <f t="shared" si="1"/>
        <v>2141</v>
      </c>
      <c r="S27" s="17">
        <v>2490.1</v>
      </c>
      <c r="T27" s="17">
        <f t="shared" si="2"/>
        <v>1854.5000000000005</v>
      </c>
    </row>
    <row r="28" spans="1:20" x14ac:dyDescent="0.35">
      <c r="A28" s="14" t="s">
        <v>62</v>
      </c>
      <c r="B28" s="15" t="s">
        <v>63</v>
      </c>
      <c r="C28" s="15" t="s">
        <v>64</v>
      </c>
      <c r="D28" s="15" t="s">
        <v>65</v>
      </c>
      <c r="E28" s="15" t="s">
        <v>89</v>
      </c>
      <c r="F28" s="15" t="s">
        <v>67</v>
      </c>
      <c r="G28" s="15" t="s">
        <v>74</v>
      </c>
      <c r="H28" s="15" t="s">
        <v>71</v>
      </c>
      <c r="I28" s="16">
        <v>588634</v>
      </c>
      <c r="J28" s="16">
        <v>560981</v>
      </c>
      <c r="K28" s="16">
        <v>581955</v>
      </c>
      <c r="L28" s="17">
        <v>5095.8999999999996</v>
      </c>
      <c r="M28" s="17">
        <v>329.9</v>
      </c>
      <c r="N28" s="17">
        <f t="shared" si="0"/>
        <v>4766</v>
      </c>
      <c r="O28" s="17">
        <v>4365.3</v>
      </c>
      <c r="P28" s="17">
        <v>4695.6000000000004</v>
      </c>
      <c r="Q28" s="17">
        <v>3013</v>
      </c>
      <c r="R28" s="17">
        <f t="shared" si="1"/>
        <v>1753</v>
      </c>
      <c r="S28" s="17">
        <v>2788.7</v>
      </c>
      <c r="T28" s="17">
        <f t="shared" si="2"/>
        <v>1576.6000000000004</v>
      </c>
    </row>
    <row r="29" spans="1:20" x14ac:dyDescent="0.35">
      <c r="A29" s="14" t="s">
        <v>62</v>
      </c>
      <c r="B29" s="15" t="s">
        <v>63</v>
      </c>
      <c r="C29" s="15" t="s">
        <v>64</v>
      </c>
      <c r="D29" s="15" t="s">
        <v>65</v>
      </c>
      <c r="E29" s="15" t="s">
        <v>89</v>
      </c>
      <c r="F29" s="15" t="s">
        <v>67</v>
      </c>
      <c r="G29" s="15" t="s">
        <v>75</v>
      </c>
      <c r="H29" s="15" t="s">
        <v>71</v>
      </c>
      <c r="I29" s="16">
        <v>532093</v>
      </c>
      <c r="J29" s="16">
        <v>510704</v>
      </c>
      <c r="K29" s="16">
        <v>527870</v>
      </c>
      <c r="L29" s="17">
        <v>4497.5</v>
      </c>
      <c r="M29" s="17">
        <v>294.7</v>
      </c>
      <c r="N29" s="17">
        <f t="shared" si="0"/>
        <v>4202.8</v>
      </c>
      <c r="O29" s="17">
        <v>3865.1</v>
      </c>
      <c r="P29" s="17">
        <v>4106.7</v>
      </c>
      <c r="Q29" s="17">
        <v>2550.1999999999998</v>
      </c>
      <c r="R29" s="17">
        <f t="shared" si="1"/>
        <v>1652.6000000000004</v>
      </c>
      <c r="S29" s="17">
        <v>2399.5</v>
      </c>
      <c r="T29" s="17">
        <f t="shared" si="2"/>
        <v>1465.6</v>
      </c>
    </row>
    <row r="30" spans="1:20" x14ac:dyDescent="0.35">
      <c r="A30" s="14" t="s">
        <v>62</v>
      </c>
      <c r="B30" s="15" t="s">
        <v>63</v>
      </c>
      <c r="C30" s="15" t="s">
        <v>64</v>
      </c>
      <c r="D30" s="15" t="s">
        <v>65</v>
      </c>
      <c r="E30" s="15" t="s">
        <v>89</v>
      </c>
      <c r="F30" s="15" t="s">
        <v>67</v>
      </c>
      <c r="G30" s="15" t="s">
        <v>76</v>
      </c>
      <c r="H30" s="15" t="s">
        <v>72</v>
      </c>
      <c r="I30" s="16">
        <v>82111</v>
      </c>
      <c r="J30" s="16">
        <v>76346</v>
      </c>
      <c r="K30" s="16">
        <v>80554</v>
      </c>
      <c r="L30" s="17">
        <v>1197.2</v>
      </c>
      <c r="M30" s="17">
        <v>73.400000000000006</v>
      </c>
      <c r="N30" s="17">
        <f t="shared" si="0"/>
        <v>1123.8</v>
      </c>
      <c r="O30" s="17">
        <v>1002.2</v>
      </c>
      <c r="P30" s="17">
        <v>1100.2</v>
      </c>
      <c r="Q30" s="17">
        <v>700.4</v>
      </c>
      <c r="R30" s="17">
        <f t="shared" si="1"/>
        <v>423.4</v>
      </c>
      <c r="S30" s="17">
        <v>629.4</v>
      </c>
      <c r="T30" s="17">
        <f t="shared" si="2"/>
        <v>372.80000000000007</v>
      </c>
    </row>
    <row r="31" spans="1:20" x14ac:dyDescent="0.35">
      <c r="A31" s="14" t="s">
        <v>62</v>
      </c>
      <c r="B31" s="15" t="s">
        <v>63</v>
      </c>
      <c r="C31" s="15" t="s">
        <v>64</v>
      </c>
      <c r="D31" s="15" t="s">
        <v>65</v>
      </c>
      <c r="E31" s="15" t="s">
        <v>89</v>
      </c>
      <c r="F31" s="15" t="s">
        <v>67</v>
      </c>
      <c r="G31" s="15" t="s">
        <v>77</v>
      </c>
      <c r="H31" s="15" t="s">
        <v>71</v>
      </c>
      <c r="I31" s="16">
        <v>250823</v>
      </c>
      <c r="J31" s="16">
        <v>240274</v>
      </c>
      <c r="K31" s="16">
        <v>248832</v>
      </c>
      <c r="L31" s="17">
        <v>2175</v>
      </c>
      <c r="M31" s="17">
        <v>132.19999999999999</v>
      </c>
      <c r="N31" s="17">
        <f t="shared" si="0"/>
        <v>2042.8</v>
      </c>
      <c r="O31" s="17">
        <v>1872.3</v>
      </c>
      <c r="P31" s="17">
        <v>1996.9</v>
      </c>
      <c r="Q31" s="17">
        <v>1261.4000000000001</v>
      </c>
      <c r="R31" s="17">
        <f t="shared" si="1"/>
        <v>781.39999999999986</v>
      </c>
      <c r="S31" s="17">
        <v>1180.7</v>
      </c>
      <c r="T31" s="17">
        <f t="shared" si="2"/>
        <v>691.59999999999991</v>
      </c>
    </row>
    <row r="32" spans="1:20" x14ac:dyDescent="0.35">
      <c r="A32" s="14" t="s">
        <v>62</v>
      </c>
      <c r="B32" s="15" t="s">
        <v>63</v>
      </c>
      <c r="C32" s="15" t="s">
        <v>64</v>
      </c>
      <c r="D32" s="15" t="s">
        <v>65</v>
      </c>
      <c r="E32" s="15" t="s">
        <v>89</v>
      </c>
      <c r="F32" s="15" t="s">
        <v>67</v>
      </c>
      <c r="G32" s="15" t="s">
        <v>78</v>
      </c>
      <c r="H32" s="15" t="s">
        <v>71</v>
      </c>
      <c r="I32" s="16">
        <v>317325</v>
      </c>
      <c r="J32" s="16">
        <v>303376</v>
      </c>
      <c r="K32" s="16">
        <v>312197</v>
      </c>
      <c r="L32" s="17">
        <v>2588.8000000000002</v>
      </c>
      <c r="M32" s="17">
        <v>186.9</v>
      </c>
      <c r="N32" s="17">
        <f t="shared" si="0"/>
        <v>2401.9</v>
      </c>
      <c r="O32" s="17">
        <v>2171.8000000000002</v>
      </c>
      <c r="P32" s="17">
        <v>2352.6</v>
      </c>
      <c r="Q32" s="17">
        <v>1503.9</v>
      </c>
      <c r="R32" s="17">
        <f t="shared" si="1"/>
        <v>898</v>
      </c>
      <c r="S32" s="17">
        <v>1389.7</v>
      </c>
      <c r="T32" s="17">
        <f t="shared" si="2"/>
        <v>782.10000000000014</v>
      </c>
    </row>
    <row r="33" spans="1:20" x14ac:dyDescent="0.35">
      <c r="A33" s="14" t="s">
        <v>62</v>
      </c>
      <c r="B33" s="15" t="s">
        <v>63</v>
      </c>
      <c r="C33" s="15" t="s">
        <v>64</v>
      </c>
      <c r="D33" s="15" t="s">
        <v>65</v>
      </c>
      <c r="E33" s="15" t="s">
        <v>89</v>
      </c>
      <c r="F33" s="15" t="s">
        <v>79</v>
      </c>
      <c r="G33" s="15" t="s">
        <v>80</v>
      </c>
      <c r="H33" s="15" t="s">
        <v>71</v>
      </c>
      <c r="I33" s="16">
        <v>488412</v>
      </c>
      <c r="J33" s="16">
        <v>449408</v>
      </c>
      <c r="K33" s="16">
        <v>481150</v>
      </c>
      <c r="L33" s="17">
        <v>2642.5</v>
      </c>
      <c r="M33" s="17">
        <v>198.3</v>
      </c>
      <c r="N33" s="17">
        <f t="shared" si="0"/>
        <v>2444.1999999999998</v>
      </c>
      <c r="O33" s="17">
        <v>2148.4</v>
      </c>
      <c r="P33" s="17">
        <v>2371.1</v>
      </c>
      <c r="Q33" s="17">
        <v>1459.6</v>
      </c>
      <c r="R33" s="17">
        <f t="shared" si="1"/>
        <v>984.59999999999991</v>
      </c>
      <c r="S33" s="17">
        <v>1307.8</v>
      </c>
      <c r="T33" s="17">
        <f t="shared" si="2"/>
        <v>840.60000000000014</v>
      </c>
    </row>
    <row r="34" spans="1:20" x14ac:dyDescent="0.35">
      <c r="A34" s="14" t="s">
        <v>62</v>
      </c>
      <c r="B34" s="15" t="s">
        <v>63</v>
      </c>
      <c r="C34" s="15" t="s">
        <v>64</v>
      </c>
      <c r="D34" s="15" t="s">
        <v>65</v>
      </c>
      <c r="E34" s="15" t="s">
        <v>89</v>
      </c>
      <c r="F34" s="15" t="s">
        <v>81</v>
      </c>
      <c r="G34" s="15" t="s">
        <v>82</v>
      </c>
      <c r="H34" s="15" t="s">
        <v>71</v>
      </c>
      <c r="I34" s="16">
        <v>155876</v>
      </c>
      <c r="J34" s="16">
        <v>142679</v>
      </c>
      <c r="K34" s="16">
        <v>154639</v>
      </c>
      <c r="L34" s="17">
        <v>1738.8</v>
      </c>
      <c r="M34" s="17">
        <v>120.5</v>
      </c>
      <c r="N34" s="17">
        <f t="shared" si="0"/>
        <v>1618.3</v>
      </c>
      <c r="O34" s="17">
        <v>1413.5</v>
      </c>
      <c r="P34" s="17">
        <v>1577.1</v>
      </c>
      <c r="Q34" s="17">
        <v>1020.4</v>
      </c>
      <c r="R34" s="17">
        <f t="shared" si="1"/>
        <v>597.9</v>
      </c>
      <c r="S34" s="17">
        <v>908</v>
      </c>
      <c r="T34" s="17">
        <f t="shared" si="2"/>
        <v>505.5</v>
      </c>
    </row>
    <row r="35" spans="1:20" x14ac:dyDescent="0.35">
      <c r="A35" s="14" t="s">
        <v>62</v>
      </c>
      <c r="B35" s="15" t="s">
        <v>63</v>
      </c>
      <c r="C35" s="15" t="s">
        <v>64</v>
      </c>
      <c r="D35" s="15" t="s">
        <v>65</v>
      </c>
      <c r="E35" s="15" t="s">
        <v>89</v>
      </c>
      <c r="F35" s="15" t="s">
        <v>83</v>
      </c>
      <c r="G35" s="15" t="s">
        <v>84</v>
      </c>
      <c r="H35" s="15" t="s">
        <v>72</v>
      </c>
      <c r="I35" s="16">
        <v>60735</v>
      </c>
      <c r="J35" s="16">
        <v>49778</v>
      </c>
      <c r="K35" s="16">
        <v>59855</v>
      </c>
      <c r="L35" s="17">
        <v>2130.5</v>
      </c>
      <c r="M35" s="17">
        <v>156.30000000000001</v>
      </c>
      <c r="N35" s="17">
        <f t="shared" si="0"/>
        <v>1974.2</v>
      </c>
      <c r="O35" s="17">
        <v>1539.4</v>
      </c>
      <c r="P35" s="17">
        <v>1929.8</v>
      </c>
      <c r="Q35" s="17">
        <v>1166.5</v>
      </c>
      <c r="R35" s="17">
        <f t="shared" si="1"/>
        <v>807.7</v>
      </c>
      <c r="S35" s="17">
        <v>921</v>
      </c>
      <c r="T35" s="17">
        <f t="shared" si="2"/>
        <v>618.40000000000009</v>
      </c>
    </row>
    <row r="36" spans="1:20" x14ac:dyDescent="0.35">
      <c r="A36" s="14" t="s">
        <v>62</v>
      </c>
      <c r="B36" s="15" t="s">
        <v>63</v>
      </c>
      <c r="C36" s="15" t="s">
        <v>64</v>
      </c>
      <c r="D36" s="15" t="s">
        <v>65</v>
      </c>
      <c r="E36" s="15" t="s">
        <v>89</v>
      </c>
      <c r="F36" s="15" t="s">
        <v>85</v>
      </c>
      <c r="G36" s="15" t="s">
        <v>86</v>
      </c>
      <c r="H36" s="15" t="s">
        <v>72</v>
      </c>
      <c r="I36" s="16">
        <v>55818</v>
      </c>
      <c r="J36" s="16">
        <v>51783</v>
      </c>
      <c r="K36" s="16">
        <v>55012</v>
      </c>
      <c r="L36" s="17">
        <v>1189.3</v>
      </c>
      <c r="M36" s="17">
        <v>82.8</v>
      </c>
      <c r="N36" s="17">
        <f t="shared" si="0"/>
        <v>1106.5</v>
      </c>
      <c r="O36" s="17">
        <v>973.5</v>
      </c>
      <c r="P36" s="17">
        <v>1072.5</v>
      </c>
      <c r="Q36" s="17">
        <v>738.7</v>
      </c>
      <c r="R36" s="17">
        <f t="shared" si="1"/>
        <v>367.79999999999995</v>
      </c>
      <c r="S36" s="17">
        <v>663.6</v>
      </c>
      <c r="T36" s="17">
        <f t="shared" si="2"/>
        <v>309.89999999999998</v>
      </c>
    </row>
    <row r="37" spans="1:20" x14ac:dyDescent="0.35">
      <c r="A37" s="14" t="s">
        <v>62</v>
      </c>
      <c r="B37" s="15" t="s">
        <v>63</v>
      </c>
      <c r="C37" s="15" t="s">
        <v>64</v>
      </c>
      <c r="D37" s="15" t="s">
        <v>65</v>
      </c>
      <c r="E37" s="15" t="s">
        <v>89</v>
      </c>
      <c r="F37" s="15" t="s">
        <v>87</v>
      </c>
      <c r="G37" s="15" t="s">
        <v>88</v>
      </c>
      <c r="H37" s="15" t="s">
        <v>72</v>
      </c>
      <c r="I37" s="16">
        <v>21815</v>
      </c>
      <c r="J37" s="16">
        <v>18490</v>
      </c>
      <c r="K37" s="16">
        <v>21484</v>
      </c>
      <c r="L37" s="17">
        <v>667.9</v>
      </c>
      <c r="M37" s="17">
        <v>47.5</v>
      </c>
      <c r="N37" s="17">
        <f t="shared" si="0"/>
        <v>620.4</v>
      </c>
      <c r="O37" s="17">
        <v>500.8</v>
      </c>
      <c r="P37" s="17">
        <v>601.70000000000005</v>
      </c>
      <c r="Q37" s="17">
        <v>384.3</v>
      </c>
      <c r="R37" s="17">
        <f t="shared" si="1"/>
        <v>236.09999999999997</v>
      </c>
      <c r="S37" s="17">
        <v>317.2</v>
      </c>
      <c r="T37" s="17">
        <f t="shared" si="2"/>
        <v>183.60000000000002</v>
      </c>
    </row>
    <row r="38" spans="1:20" x14ac:dyDescent="0.35">
      <c r="A38" s="14" t="s">
        <v>62</v>
      </c>
      <c r="B38" s="15" t="s">
        <v>63</v>
      </c>
      <c r="C38" s="15" t="s">
        <v>64</v>
      </c>
      <c r="D38" s="15" t="s">
        <v>65</v>
      </c>
      <c r="E38" s="15" t="s">
        <v>90</v>
      </c>
      <c r="F38" s="15" t="s">
        <v>67</v>
      </c>
      <c r="G38" s="15" t="s">
        <v>68</v>
      </c>
      <c r="H38" s="15" t="s">
        <v>69</v>
      </c>
      <c r="I38" s="16">
        <v>533414</v>
      </c>
      <c r="J38" s="16">
        <v>516748</v>
      </c>
      <c r="K38" s="16">
        <v>524521</v>
      </c>
      <c r="L38" s="17">
        <v>2958.4</v>
      </c>
      <c r="M38" s="17">
        <v>314.89999999999998</v>
      </c>
      <c r="N38" s="17">
        <f t="shared" si="0"/>
        <v>2643.5</v>
      </c>
      <c r="O38" s="17">
        <v>2433.1999999999998</v>
      </c>
      <c r="P38" s="17">
        <v>2574.1999999999998</v>
      </c>
      <c r="Q38" s="17">
        <v>1474.6</v>
      </c>
      <c r="R38" s="17">
        <f t="shared" si="1"/>
        <v>1168.9000000000001</v>
      </c>
      <c r="S38" s="17">
        <v>1380.6</v>
      </c>
      <c r="T38" s="17">
        <f t="shared" si="2"/>
        <v>1052.5999999999999</v>
      </c>
    </row>
    <row r="39" spans="1:20" x14ac:dyDescent="0.35">
      <c r="A39" s="14" t="s">
        <v>62</v>
      </c>
      <c r="B39" s="15" t="s">
        <v>63</v>
      </c>
      <c r="C39" s="15" t="s">
        <v>64</v>
      </c>
      <c r="D39" s="15" t="s">
        <v>65</v>
      </c>
      <c r="E39" s="15" t="s">
        <v>90</v>
      </c>
      <c r="F39" s="15" t="s">
        <v>67</v>
      </c>
      <c r="G39" s="15" t="s">
        <v>68</v>
      </c>
      <c r="H39" s="15" t="s">
        <v>70</v>
      </c>
      <c r="I39" s="16">
        <v>586544</v>
      </c>
      <c r="J39" s="16">
        <v>558697</v>
      </c>
      <c r="K39" s="16">
        <v>578298</v>
      </c>
      <c r="L39" s="17">
        <v>3801.8</v>
      </c>
      <c r="M39" s="17">
        <v>413.9</v>
      </c>
      <c r="N39" s="17">
        <f t="shared" si="0"/>
        <v>3387.9</v>
      </c>
      <c r="O39" s="17">
        <v>3062.8</v>
      </c>
      <c r="P39" s="17">
        <v>3332.7</v>
      </c>
      <c r="Q39" s="17">
        <v>1912.1</v>
      </c>
      <c r="R39" s="17">
        <f t="shared" si="1"/>
        <v>1475.8000000000002</v>
      </c>
      <c r="S39" s="17">
        <v>1742.9</v>
      </c>
      <c r="T39" s="17">
        <f t="shared" si="2"/>
        <v>1319.9</v>
      </c>
    </row>
    <row r="40" spans="1:20" x14ac:dyDescent="0.35">
      <c r="A40" s="14" t="s">
        <v>62</v>
      </c>
      <c r="B40" s="15" t="s">
        <v>63</v>
      </c>
      <c r="C40" s="15" t="s">
        <v>64</v>
      </c>
      <c r="D40" s="15" t="s">
        <v>65</v>
      </c>
      <c r="E40" s="15" t="s">
        <v>90</v>
      </c>
      <c r="F40" s="15" t="s">
        <v>67</v>
      </c>
      <c r="G40" s="15" t="s">
        <v>68</v>
      </c>
      <c r="H40" s="15" t="s">
        <v>71</v>
      </c>
      <c r="I40" s="16">
        <v>829410</v>
      </c>
      <c r="J40" s="16">
        <v>808313</v>
      </c>
      <c r="K40" s="16">
        <v>822827</v>
      </c>
      <c r="L40" s="17">
        <v>6545.9</v>
      </c>
      <c r="M40" s="17">
        <v>670.8</v>
      </c>
      <c r="N40" s="17">
        <f t="shared" si="0"/>
        <v>5875.0999999999995</v>
      </c>
      <c r="O40" s="17">
        <v>5405.7</v>
      </c>
      <c r="P40" s="17">
        <v>5759.9</v>
      </c>
      <c r="Q40" s="17">
        <v>3657.2</v>
      </c>
      <c r="R40" s="17">
        <f t="shared" si="1"/>
        <v>2217.8999999999996</v>
      </c>
      <c r="S40" s="17">
        <v>3416.3</v>
      </c>
      <c r="T40" s="17">
        <f t="shared" si="2"/>
        <v>1989.3999999999996</v>
      </c>
    </row>
    <row r="41" spans="1:20" x14ac:dyDescent="0.35">
      <c r="A41" s="14" t="s">
        <v>62</v>
      </c>
      <c r="B41" s="15" t="s">
        <v>63</v>
      </c>
      <c r="C41" s="15" t="s">
        <v>64</v>
      </c>
      <c r="D41" s="15" t="s">
        <v>65</v>
      </c>
      <c r="E41" s="15" t="s">
        <v>90</v>
      </c>
      <c r="F41" s="15" t="s">
        <v>67</v>
      </c>
      <c r="G41" s="15" t="s">
        <v>68</v>
      </c>
      <c r="H41" s="15" t="s">
        <v>72</v>
      </c>
      <c r="I41" s="16">
        <v>230520</v>
      </c>
      <c r="J41" s="16">
        <v>218656</v>
      </c>
      <c r="K41" s="16">
        <v>226516</v>
      </c>
      <c r="L41" s="17">
        <v>2524.5</v>
      </c>
      <c r="M41" s="17">
        <v>277.60000000000002</v>
      </c>
      <c r="N41" s="17">
        <f t="shared" si="0"/>
        <v>2246.9</v>
      </c>
      <c r="O41" s="17">
        <v>2035.2</v>
      </c>
      <c r="P41" s="17">
        <v>2187</v>
      </c>
      <c r="Q41" s="17">
        <v>1468.7</v>
      </c>
      <c r="R41" s="17">
        <f t="shared" si="1"/>
        <v>778.2</v>
      </c>
      <c r="S41" s="17">
        <v>1357.7</v>
      </c>
      <c r="T41" s="17">
        <f t="shared" si="2"/>
        <v>677.5</v>
      </c>
    </row>
    <row r="42" spans="1:20" x14ac:dyDescent="0.35">
      <c r="A42" s="14" t="s">
        <v>62</v>
      </c>
      <c r="B42" s="15" t="s">
        <v>63</v>
      </c>
      <c r="C42" s="15" t="s">
        <v>64</v>
      </c>
      <c r="D42" s="15" t="s">
        <v>65</v>
      </c>
      <c r="E42" s="15" t="s">
        <v>90</v>
      </c>
      <c r="F42" s="15" t="s">
        <v>67</v>
      </c>
      <c r="G42" s="15" t="s">
        <v>73</v>
      </c>
      <c r="H42" s="15" t="s">
        <v>71</v>
      </c>
      <c r="I42" s="16">
        <v>241949</v>
      </c>
      <c r="J42" s="16">
        <v>214645</v>
      </c>
      <c r="K42" s="16">
        <v>237442</v>
      </c>
      <c r="L42" s="17">
        <v>1959.3</v>
      </c>
      <c r="M42" s="17">
        <v>205.3</v>
      </c>
      <c r="N42" s="17">
        <f t="shared" si="0"/>
        <v>1754</v>
      </c>
      <c r="O42" s="17">
        <v>1494</v>
      </c>
      <c r="P42" s="17">
        <v>1707.6</v>
      </c>
      <c r="Q42" s="17">
        <v>1062.9000000000001</v>
      </c>
      <c r="R42" s="17">
        <f t="shared" si="1"/>
        <v>691.09999999999991</v>
      </c>
      <c r="S42" s="17">
        <v>922.5</v>
      </c>
      <c r="T42" s="17">
        <f t="shared" si="2"/>
        <v>571.5</v>
      </c>
    </row>
    <row r="43" spans="1:20" x14ac:dyDescent="0.35">
      <c r="A43" s="14" t="s">
        <v>62</v>
      </c>
      <c r="B43" s="15" t="s">
        <v>63</v>
      </c>
      <c r="C43" s="15" t="s">
        <v>64</v>
      </c>
      <c r="D43" s="15" t="s">
        <v>65</v>
      </c>
      <c r="E43" s="15" t="s">
        <v>90</v>
      </c>
      <c r="F43" s="15" t="s">
        <v>67</v>
      </c>
      <c r="G43" s="15" t="s">
        <v>73</v>
      </c>
      <c r="H43" s="15" t="s">
        <v>72</v>
      </c>
      <c r="I43" s="16">
        <v>89432</v>
      </c>
      <c r="J43" s="16">
        <v>76721</v>
      </c>
      <c r="K43" s="16">
        <v>87694</v>
      </c>
      <c r="L43" s="17">
        <v>952.1</v>
      </c>
      <c r="M43" s="17">
        <v>103.2</v>
      </c>
      <c r="N43" s="17">
        <f t="shared" si="0"/>
        <v>848.9</v>
      </c>
      <c r="O43" s="17">
        <v>690.5</v>
      </c>
      <c r="P43" s="17">
        <v>835.2</v>
      </c>
      <c r="Q43" s="17">
        <v>550</v>
      </c>
      <c r="R43" s="17">
        <f t="shared" si="1"/>
        <v>298.89999999999998</v>
      </c>
      <c r="S43" s="17">
        <v>455.6</v>
      </c>
      <c r="T43" s="17">
        <f t="shared" si="2"/>
        <v>234.89999999999998</v>
      </c>
    </row>
    <row r="44" spans="1:20" x14ac:dyDescent="0.35">
      <c r="A44" s="14" t="s">
        <v>62</v>
      </c>
      <c r="B44" s="15" t="s">
        <v>63</v>
      </c>
      <c r="C44" s="15" t="s">
        <v>64</v>
      </c>
      <c r="D44" s="15" t="s">
        <v>65</v>
      </c>
      <c r="E44" s="15" t="s">
        <v>90</v>
      </c>
      <c r="F44" s="15" t="s">
        <v>67</v>
      </c>
      <c r="G44" s="15" t="s">
        <v>74</v>
      </c>
      <c r="H44" s="15" t="s">
        <v>70</v>
      </c>
      <c r="I44" s="16">
        <v>267966</v>
      </c>
      <c r="J44" s="16">
        <v>248625</v>
      </c>
      <c r="K44" s="16">
        <v>263742</v>
      </c>
      <c r="L44" s="17">
        <v>1668.7</v>
      </c>
      <c r="M44" s="17">
        <v>180.4</v>
      </c>
      <c r="N44" s="17">
        <f t="shared" si="0"/>
        <v>1488.3</v>
      </c>
      <c r="O44" s="17">
        <v>1326.1</v>
      </c>
      <c r="P44" s="17">
        <v>1451.9</v>
      </c>
      <c r="Q44" s="17">
        <v>853.2</v>
      </c>
      <c r="R44" s="17">
        <f t="shared" si="1"/>
        <v>635.09999999999991</v>
      </c>
      <c r="S44" s="17">
        <v>777.7</v>
      </c>
      <c r="T44" s="17">
        <f t="shared" si="2"/>
        <v>548.39999999999986</v>
      </c>
    </row>
    <row r="45" spans="1:20" x14ac:dyDescent="0.35">
      <c r="A45" s="14" t="s">
        <v>62</v>
      </c>
      <c r="B45" s="15" t="s">
        <v>63</v>
      </c>
      <c r="C45" s="15" t="s">
        <v>64</v>
      </c>
      <c r="D45" s="15" t="s">
        <v>65</v>
      </c>
      <c r="E45" s="15" t="s">
        <v>90</v>
      </c>
      <c r="F45" s="15" t="s">
        <v>67</v>
      </c>
      <c r="G45" s="15" t="s">
        <v>74</v>
      </c>
      <c r="H45" s="15" t="s">
        <v>71</v>
      </c>
      <c r="I45" s="16">
        <v>322883</v>
      </c>
      <c r="J45" s="16">
        <v>308584</v>
      </c>
      <c r="K45" s="16">
        <v>320320</v>
      </c>
      <c r="L45" s="17">
        <v>2464.8000000000002</v>
      </c>
      <c r="M45" s="17">
        <v>261.5</v>
      </c>
      <c r="N45" s="17">
        <f t="shared" si="0"/>
        <v>2203.3000000000002</v>
      </c>
      <c r="O45" s="17">
        <v>2011.5</v>
      </c>
      <c r="P45" s="17">
        <v>2152.9</v>
      </c>
      <c r="Q45" s="17">
        <v>1385.4</v>
      </c>
      <c r="R45" s="17">
        <f t="shared" si="1"/>
        <v>817.90000000000009</v>
      </c>
      <c r="S45" s="17">
        <v>1282.0999999999999</v>
      </c>
      <c r="T45" s="17">
        <f t="shared" si="2"/>
        <v>729.40000000000009</v>
      </c>
    </row>
    <row r="46" spans="1:20" x14ac:dyDescent="0.35">
      <c r="A46" s="14" t="s">
        <v>62</v>
      </c>
      <c r="B46" s="15" t="s">
        <v>63</v>
      </c>
      <c r="C46" s="15" t="s">
        <v>64</v>
      </c>
      <c r="D46" s="15" t="s">
        <v>65</v>
      </c>
      <c r="E46" s="15" t="s">
        <v>90</v>
      </c>
      <c r="F46" s="15" t="s">
        <v>67</v>
      </c>
      <c r="G46" s="15" t="s">
        <v>75</v>
      </c>
      <c r="H46" s="15" t="s">
        <v>71</v>
      </c>
      <c r="I46" s="16">
        <v>251709</v>
      </c>
      <c r="J46" s="16">
        <v>243994</v>
      </c>
      <c r="K46" s="16">
        <v>249711</v>
      </c>
      <c r="L46" s="17">
        <v>2012.6</v>
      </c>
      <c r="M46" s="17">
        <v>205.8</v>
      </c>
      <c r="N46" s="17">
        <f t="shared" si="0"/>
        <v>1806.8</v>
      </c>
      <c r="O46" s="17">
        <v>1660.4</v>
      </c>
      <c r="P46" s="17">
        <v>1774.2</v>
      </c>
      <c r="Q46" s="17">
        <v>1125.3</v>
      </c>
      <c r="R46" s="17">
        <f t="shared" si="1"/>
        <v>681.5</v>
      </c>
      <c r="S46" s="17">
        <v>1057.9000000000001</v>
      </c>
      <c r="T46" s="17">
        <f t="shared" si="2"/>
        <v>602.5</v>
      </c>
    </row>
    <row r="47" spans="1:20" x14ac:dyDescent="0.35">
      <c r="A47" s="14" t="s">
        <v>62</v>
      </c>
      <c r="B47" s="15" t="s">
        <v>63</v>
      </c>
      <c r="C47" s="15" t="s">
        <v>64</v>
      </c>
      <c r="D47" s="15" t="s">
        <v>65</v>
      </c>
      <c r="E47" s="15" t="s">
        <v>90</v>
      </c>
      <c r="F47" s="15" t="s">
        <v>67</v>
      </c>
      <c r="G47" s="15" t="s">
        <v>76</v>
      </c>
      <c r="H47" s="15" t="s">
        <v>72</v>
      </c>
      <c r="I47" s="16">
        <v>58146</v>
      </c>
      <c r="J47" s="16">
        <v>53428</v>
      </c>
      <c r="K47" s="16">
        <v>57685</v>
      </c>
      <c r="L47" s="17">
        <v>781.3</v>
      </c>
      <c r="M47" s="17">
        <v>89.7</v>
      </c>
      <c r="N47" s="17">
        <f t="shared" si="0"/>
        <v>691.59999999999991</v>
      </c>
      <c r="O47" s="17">
        <v>606.79999999999995</v>
      </c>
      <c r="P47" s="17">
        <v>677.2</v>
      </c>
      <c r="Q47" s="17">
        <v>434.1</v>
      </c>
      <c r="R47" s="17">
        <f t="shared" si="1"/>
        <v>257.49999999999989</v>
      </c>
      <c r="S47" s="17">
        <v>386.9</v>
      </c>
      <c r="T47" s="17">
        <f t="shared" si="2"/>
        <v>219.89999999999998</v>
      </c>
    </row>
    <row r="48" spans="1:20" x14ac:dyDescent="0.35">
      <c r="A48" s="14" t="s">
        <v>62</v>
      </c>
      <c r="B48" s="15" t="s">
        <v>63</v>
      </c>
      <c r="C48" s="15" t="s">
        <v>64</v>
      </c>
      <c r="D48" s="15" t="s">
        <v>65</v>
      </c>
      <c r="E48" s="15" t="s">
        <v>90</v>
      </c>
      <c r="F48" s="15" t="s">
        <v>67</v>
      </c>
      <c r="G48" s="15" t="s">
        <v>77</v>
      </c>
      <c r="H48" s="15" t="s">
        <v>71</v>
      </c>
      <c r="I48" s="16">
        <v>130527</v>
      </c>
      <c r="J48" s="16">
        <v>126720</v>
      </c>
      <c r="K48" s="16">
        <v>128765</v>
      </c>
      <c r="L48" s="17">
        <v>1040.3</v>
      </c>
      <c r="M48" s="17">
        <v>109.9</v>
      </c>
      <c r="N48" s="17">
        <f t="shared" si="0"/>
        <v>930.4</v>
      </c>
      <c r="O48" s="17">
        <v>862.1</v>
      </c>
      <c r="P48" s="17">
        <v>916.7</v>
      </c>
      <c r="Q48" s="17">
        <v>580.79999999999995</v>
      </c>
      <c r="R48" s="17">
        <f t="shared" si="1"/>
        <v>349.6</v>
      </c>
      <c r="S48" s="17">
        <v>544</v>
      </c>
      <c r="T48" s="17">
        <f t="shared" si="2"/>
        <v>318.10000000000002</v>
      </c>
    </row>
    <row r="49" spans="1:20" x14ac:dyDescent="0.35">
      <c r="A49" s="14" t="s">
        <v>62</v>
      </c>
      <c r="B49" s="15" t="s">
        <v>63</v>
      </c>
      <c r="C49" s="15" t="s">
        <v>64</v>
      </c>
      <c r="D49" s="15" t="s">
        <v>65</v>
      </c>
      <c r="E49" s="15" t="s">
        <v>90</v>
      </c>
      <c r="F49" s="15" t="s">
        <v>67</v>
      </c>
      <c r="G49" s="15" t="s">
        <v>78</v>
      </c>
      <c r="H49" s="15" t="s">
        <v>71</v>
      </c>
      <c r="I49" s="16">
        <v>184975</v>
      </c>
      <c r="J49" s="16">
        <v>176607</v>
      </c>
      <c r="K49" s="16">
        <v>183278</v>
      </c>
      <c r="L49" s="17">
        <v>1428.9</v>
      </c>
      <c r="M49" s="17">
        <v>165.7</v>
      </c>
      <c r="N49" s="17">
        <f t="shared" si="0"/>
        <v>1263.2</v>
      </c>
      <c r="O49" s="17">
        <v>1149.2</v>
      </c>
      <c r="P49" s="17">
        <v>1235</v>
      </c>
      <c r="Q49" s="17">
        <v>781.9</v>
      </c>
      <c r="R49" s="17">
        <f t="shared" si="1"/>
        <v>481.30000000000007</v>
      </c>
      <c r="S49" s="17">
        <v>721.7</v>
      </c>
      <c r="T49" s="17">
        <f t="shared" si="2"/>
        <v>427.5</v>
      </c>
    </row>
    <row r="50" spans="1:20" x14ac:dyDescent="0.35">
      <c r="A50" s="14" t="s">
        <v>62</v>
      </c>
      <c r="B50" s="15" t="s">
        <v>63</v>
      </c>
      <c r="C50" s="15" t="s">
        <v>64</v>
      </c>
      <c r="D50" s="15" t="s">
        <v>65</v>
      </c>
      <c r="E50" s="15" t="s">
        <v>90</v>
      </c>
      <c r="F50" s="15" t="s">
        <v>79</v>
      </c>
      <c r="G50" s="15" t="s">
        <v>80</v>
      </c>
      <c r="H50" s="15" t="s">
        <v>71</v>
      </c>
      <c r="I50" s="16">
        <v>242085</v>
      </c>
      <c r="J50" s="16">
        <v>224848</v>
      </c>
      <c r="K50" s="16">
        <v>238999</v>
      </c>
      <c r="L50" s="17">
        <v>1215.7</v>
      </c>
      <c r="M50" s="17">
        <v>130.9</v>
      </c>
      <c r="N50" s="17">
        <f t="shared" si="0"/>
        <v>1084.8</v>
      </c>
      <c r="O50" s="17">
        <v>968.2</v>
      </c>
      <c r="P50" s="17">
        <v>1062.2</v>
      </c>
      <c r="Q50" s="17">
        <v>655.6</v>
      </c>
      <c r="R50" s="17">
        <f t="shared" si="1"/>
        <v>429.19999999999993</v>
      </c>
      <c r="S50" s="17">
        <v>594.29999999999995</v>
      </c>
      <c r="T50" s="17">
        <f t="shared" si="2"/>
        <v>373.90000000000009</v>
      </c>
    </row>
    <row r="51" spans="1:20" x14ac:dyDescent="0.35">
      <c r="A51" s="14" t="s">
        <v>62</v>
      </c>
      <c r="B51" s="15" t="s">
        <v>63</v>
      </c>
      <c r="C51" s="15" t="s">
        <v>64</v>
      </c>
      <c r="D51" s="15" t="s">
        <v>65</v>
      </c>
      <c r="E51" s="15" t="s">
        <v>90</v>
      </c>
      <c r="F51" s="15" t="s">
        <v>81</v>
      </c>
      <c r="G51" s="15" t="s">
        <v>82</v>
      </c>
      <c r="H51" s="15" t="s">
        <v>71</v>
      </c>
      <c r="I51" s="16">
        <v>93370</v>
      </c>
      <c r="J51" s="16">
        <v>86398</v>
      </c>
      <c r="K51" s="16">
        <v>92629</v>
      </c>
      <c r="L51" s="17">
        <v>956.5</v>
      </c>
      <c r="M51" s="17">
        <v>97.8</v>
      </c>
      <c r="N51" s="17">
        <f t="shared" si="0"/>
        <v>858.7</v>
      </c>
      <c r="O51" s="17">
        <v>763.3</v>
      </c>
      <c r="P51" s="17">
        <v>836.9</v>
      </c>
      <c r="Q51" s="17">
        <v>539</v>
      </c>
      <c r="R51" s="17">
        <f t="shared" si="1"/>
        <v>319.70000000000005</v>
      </c>
      <c r="S51" s="17">
        <v>485.1</v>
      </c>
      <c r="T51" s="17">
        <f t="shared" si="2"/>
        <v>278.19999999999993</v>
      </c>
    </row>
    <row r="52" spans="1:20" x14ac:dyDescent="0.35">
      <c r="A52" s="14" t="s">
        <v>62</v>
      </c>
      <c r="B52" s="15" t="s">
        <v>63</v>
      </c>
      <c r="C52" s="15" t="s">
        <v>64</v>
      </c>
      <c r="D52" s="15" t="s">
        <v>65</v>
      </c>
      <c r="E52" s="15" t="s">
        <v>90</v>
      </c>
      <c r="F52" s="15" t="s">
        <v>83</v>
      </c>
      <c r="G52" s="15" t="s">
        <v>84</v>
      </c>
      <c r="H52" s="15" t="s">
        <v>72</v>
      </c>
      <c r="I52" s="16">
        <v>45711</v>
      </c>
      <c r="J52" s="16">
        <v>38240</v>
      </c>
      <c r="K52" s="16">
        <v>45194</v>
      </c>
      <c r="L52" s="17">
        <v>1530.4</v>
      </c>
      <c r="M52" s="17">
        <v>173.9</v>
      </c>
      <c r="N52" s="17">
        <f t="shared" si="0"/>
        <v>1356.5</v>
      </c>
      <c r="O52" s="17">
        <v>1073.3</v>
      </c>
      <c r="P52" s="17">
        <v>1334.1</v>
      </c>
      <c r="Q52" s="17">
        <v>801.5</v>
      </c>
      <c r="R52" s="17">
        <f t="shared" si="1"/>
        <v>555</v>
      </c>
      <c r="S52" s="17">
        <v>643.20000000000005</v>
      </c>
      <c r="T52" s="17">
        <f t="shared" si="2"/>
        <v>430.09999999999991</v>
      </c>
    </row>
    <row r="53" spans="1:20" x14ac:dyDescent="0.35">
      <c r="A53" s="14" t="s">
        <v>62</v>
      </c>
      <c r="B53" s="15" t="s">
        <v>63</v>
      </c>
      <c r="C53" s="15" t="s">
        <v>64</v>
      </c>
      <c r="D53" s="15" t="s">
        <v>65</v>
      </c>
      <c r="E53" s="15" t="s">
        <v>90</v>
      </c>
      <c r="F53" s="15" t="s">
        <v>85</v>
      </c>
      <c r="G53" s="15" t="s">
        <v>86</v>
      </c>
      <c r="H53" s="15" t="s">
        <v>72</v>
      </c>
      <c r="I53" s="16">
        <v>41555</v>
      </c>
      <c r="J53" s="16">
        <v>38607</v>
      </c>
      <c r="K53" s="16">
        <v>41225</v>
      </c>
      <c r="L53" s="17">
        <v>826.3</v>
      </c>
      <c r="M53" s="17">
        <v>91</v>
      </c>
      <c r="N53" s="17">
        <f t="shared" si="0"/>
        <v>735.3</v>
      </c>
      <c r="O53" s="17">
        <v>652.29999999999995</v>
      </c>
      <c r="P53" s="17">
        <v>712.8</v>
      </c>
      <c r="Q53" s="17">
        <v>482.7</v>
      </c>
      <c r="R53" s="17">
        <f t="shared" si="1"/>
        <v>252.59999999999997</v>
      </c>
      <c r="S53" s="17">
        <v>432.2</v>
      </c>
      <c r="T53" s="17">
        <f t="shared" si="2"/>
        <v>220.09999999999997</v>
      </c>
    </row>
    <row r="54" spans="1:20" x14ac:dyDescent="0.35">
      <c r="A54" s="14" t="s">
        <v>62</v>
      </c>
      <c r="B54" s="15" t="s">
        <v>63</v>
      </c>
      <c r="C54" s="15" t="s">
        <v>64</v>
      </c>
      <c r="D54" s="15" t="s">
        <v>65</v>
      </c>
      <c r="E54" s="15" t="s">
        <v>90</v>
      </c>
      <c r="F54" s="15" t="s">
        <v>87</v>
      </c>
      <c r="G54" s="15" t="s">
        <v>88</v>
      </c>
      <c r="H54" s="15" t="s">
        <v>72</v>
      </c>
      <c r="I54" s="16">
        <v>16577</v>
      </c>
      <c r="J54" s="16">
        <v>14287</v>
      </c>
      <c r="K54" s="16">
        <v>16406</v>
      </c>
      <c r="L54" s="17">
        <v>449.2</v>
      </c>
      <c r="M54" s="17">
        <v>49.7</v>
      </c>
      <c r="N54" s="17">
        <f t="shared" si="0"/>
        <v>399.5</v>
      </c>
      <c r="O54" s="17">
        <v>326.10000000000002</v>
      </c>
      <c r="P54" s="17">
        <v>388.4</v>
      </c>
      <c r="Q54" s="17">
        <v>247.2</v>
      </c>
      <c r="R54" s="17">
        <f t="shared" si="1"/>
        <v>152.30000000000001</v>
      </c>
      <c r="S54" s="17">
        <v>204.4</v>
      </c>
      <c r="T54" s="17">
        <f t="shared" si="2"/>
        <v>121.70000000000002</v>
      </c>
    </row>
    <row r="55" spans="1:20" x14ac:dyDescent="0.35">
      <c r="A55" s="14" t="s">
        <v>62</v>
      </c>
      <c r="B55" s="15" t="s">
        <v>63</v>
      </c>
      <c r="C55" s="15" t="s">
        <v>64</v>
      </c>
      <c r="D55" s="15" t="s">
        <v>65</v>
      </c>
      <c r="E55" s="15" t="s">
        <v>91</v>
      </c>
      <c r="F55" s="15" t="s">
        <v>67</v>
      </c>
      <c r="G55" s="15" t="s">
        <v>68</v>
      </c>
      <c r="H55" s="15" t="s">
        <v>69</v>
      </c>
      <c r="I55" s="16">
        <v>358728</v>
      </c>
      <c r="J55" s="16">
        <v>333225</v>
      </c>
      <c r="K55" s="16">
        <v>355683</v>
      </c>
      <c r="L55" s="17">
        <v>2263.3000000000002</v>
      </c>
      <c r="M55" s="17">
        <v>116.7</v>
      </c>
      <c r="N55" s="17">
        <f t="shared" si="0"/>
        <v>2146.6000000000004</v>
      </c>
      <c r="O55" s="17">
        <v>1909.8</v>
      </c>
      <c r="P55" s="17">
        <v>2096.6</v>
      </c>
      <c r="Q55" s="17">
        <v>1192.5</v>
      </c>
      <c r="R55" s="17">
        <f t="shared" si="1"/>
        <v>954.10000000000036</v>
      </c>
      <c r="S55" s="17">
        <v>1082.3</v>
      </c>
      <c r="T55" s="17">
        <f t="shared" si="2"/>
        <v>827.5</v>
      </c>
    </row>
    <row r="56" spans="1:20" x14ac:dyDescent="0.35">
      <c r="A56" s="14" t="s">
        <v>62</v>
      </c>
      <c r="B56" s="15" t="s">
        <v>63</v>
      </c>
      <c r="C56" s="15" t="s">
        <v>64</v>
      </c>
      <c r="D56" s="15" t="s">
        <v>65</v>
      </c>
      <c r="E56" s="15" t="s">
        <v>91</v>
      </c>
      <c r="F56" s="15" t="s">
        <v>67</v>
      </c>
      <c r="G56" s="15" t="s">
        <v>68</v>
      </c>
      <c r="H56" s="15" t="s">
        <v>70</v>
      </c>
      <c r="I56" s="16">
        <v>136950</v>
      </c>
      <c r="J56" s="16">
        <v>125354</v>
      </c>
      <c r="K56" s="16">
        <v>135863</v>
      </c>
      <c r="L56" s="17">
        <v>1015.3</v>
      </c>
      <c r="M56" s="17">
        <v>59.1</v>
      </c>
      <c r="N56" s="17">
        <f t="shared" si="0"/>
        <v>956.19999999999993</v>
      </c>
      <c r="O56" s="17">
        <v>840.6</v>
      </c>
      <c r="P56" s="17">
        <v>929.6</v>
      </c>
      <c r="Q56" s="17">
        <v>534.20000000000005</v>
      </c>
      <c r="R56" s="17">
        <f t="shared" si="1"/>
        <v>421.99999999999989</v>
      </c>
      <c r="S56" s="17">
        <v>476.4</v>
      </c>
      <c r="T56" s="17">
        <f t="shared" si="2"/>
        <v>364.20000000000005</v>
      </c>
    </row>
    <row r="57" spans="1:20" x14ac:dyDescent="0.35">
      <c r="A57" s="14" t="s">
        <v>62</v>
      </c>
      <c r="B57" s="15" t="s">
        <v>63</v>
      </c>
      <c r="C57" s="15" t="s">
        <v>64</v>
      </c>
      <c r="D57" s="15" t="s">
        <v>65</v>
      </c>
      <c r="E57" s="15" t="s">
        <v>91</v>
      </c>
      <c r="F57" s="15" t="s">
        <v>67</v>
      </c>
      <c r="G57" s="15" t="s">
        <v>68</v>
      </c>
      <c r="H57" s="15" t="s">
        <v>71</v>
      </c>
      <c r="I57" s="16">
        <v>264157</v>
      </c>
      <c r="J57" s="16">
        <v>244898</v>
      </c>
      <c r="K57" s="16">
        <v>259748</v>
      </c>
      <c r="L57" s="17">
        <v>2506</v>
      </c>
      <c r="M57" s="17">
        <v>102.9</v>
      </c>
      <c r="N57" s="17">
        <f t="shared" si="0"/>
        <v>2403.1</v>
      </c>
      <c r="O57" s="17">
        <v>2115.1</v>
      </c>
      <c r="P57" s="17">
        <v>2344.3000000000002</v>
      </c>
      <c r="Q57" s="17">
        <v>1519.8</v>
      </c>
      <c r="R57" s="17">
        <f t="shared" si="1"/>
        <v>883.3</v>
      </c>
      <c r="S57" s="17">
        <v>1351</v>
      </c>
      <c r="T57" s="17">
        <f t="shared" si="2"/>
        <v>764.09999999999991</v>
      </c>
    </row>
    <row r="58" spans="1:20" x14ac:dyDescent="0.35">
      <c r="A58" s="14" t="s">
        <v>62</v>
      </c>
      <c r="B58" s="15" t="s">
        <v>63</v>
      </c>
      <c r="C58" s="15" t="s">
        <v>64</v>
      </c>
      <c r="D58" s="15" t="s">
        <v>65</v>
      </c>
      <c r="E58" s="15" t="s">
        <v>91</v>
      </c>
      <c r="F58" s="15" t="s">
        <v>67</v>
      </c>
      <c r="G58" s="15" t="s">
        <v>68</v>
      </c>
      <c r="H58" s="15" t="s">
        <v>72</v>
      </c>
      <c r="I58" s="16">
        <v>140493</v>
      </c>
      <c r="J58" s="16">
        <v>128824</v>
      </c>
      <c r="K58" s="16">
        <v>139378</v>
      </c>
      <c r="L58" s="17">
        <v>1840.8</v>
      </c>
      <c r="M58" s="17">
        <v>95.5</v>
      </c>
      <c r="N58" s="17">
        <f t="shared" si="0"/>
        <v>1745.3</v>
      </c>
      <c r="O58" s="17">
        <v>1533.1</v>
      </c>
      <c r="P58" s="17">
        <v>1700</v>
      </c>
      <c r="Q58" s="17">
        <v>1121.4000000000001</v>
      </c>
      <c r="R58" s="17">
        <f t="shared" si="1"/>
        <v>623.89999999999986</v>
      </c>
      <c r="S58" s="17">
        <v>1004.1</v>
      </c>
      <c r="T58" s="17">
        <f t="shared" si="2"/>
        <v>528.99999999999989</v>
      </c>
    </row>
    <row r="59" spans="1:20" x14ac:dyDescent="0.35">
      <c r="A59" s="14" t="s">
        <v>62</v>
      </c>
      <c r="B59" s="15" t="s">
        <v>63</v>
      </c>
      <c r="C59" s="15" t="s">
        <v>64</v>
      </c>
      <c r="D59" s="15" t="s">
        <v>65</v>
      </c>
      <c r="E59" s="15" t="s">
        <v>91</v>
      </c>
      <c r="F59" s="15" t="s">
        <v>67</v>
      </c>
      <c r="G59" s="15" t="s">
        <v>73</v>
      </c>
      <c r="H59" s="15" t="s">
        <v>71</v>
      </c>
      <c r="I59" s="16">
        <v>78921</v>
      </c>
      <c r="J59" s="16">
        <v>67727</v>
      </c>
      <c r="K59" s="16">
        <v>78104</v>
      </c>
      <c r="L59" s="17">
        <v>757.5</v>
      </c>
      <c r="M59" s="17">
        <v>32.4</v>
      </c>
      <c r="N59" s="17">
        <f t="shared" si="0"/>
        <v>725.1</v>
      </c>
      <c r="O59" s="17">
        <v>592.70000000000005</v>
      </c>
      <c r="P59" s="17">
        <v>710.9</v>
      </c>
      <c r="Q59" s="17">
        <v>457.9</v>
      </c>
      <c r="R59" s="17">
        <f t="shared" si="1"/>
        <v>267.20000000000005</v>
      </c>
      <c r="S59" s="17">
        <v>377.8</v>
      </c>
      <c r="T59" s="17">
        <f t="shared" si="2"/>
        <v>214.90000000000003</v>
      </c>
    </row>
    <row r="60" spans="1:20" x14ac:dyDescent="0.35">
      <c r="A60" s="14" t="s">
        <v>62</v>
      </c>
      <c r="B60" s="15" t="s">
        <v>63</v>
      </c>
      <c r="C60" s="15" t="s">
        <v>64</v>
      </c>
      <c r="D60" s="15" t="s">
        <v>65</v>
      </c>
      <c r="E60" s="15" t="s">
        <v>91</v>
      </c>
      <c r="F60" s="15" t="s">
        <v>67</v>
      </c>
      <c r="G60" s="15" t="s">
        <v>73</v>
      </c>
      <c r="H60" s="15" t="s">
        <v>72</v>
      </c>
      <c r="I60" s="16">
        <v>48392</v>
      </c>
      <c r="J60" s="16">
        <v>40108</v>
      </c>
      <c r="K60" s="16">
        <v>48008</v>
      </c>
      <c r="L60" s="17">
        <v>616.6</v>
      </c>
      <c r="M60" s="17">
        <v>26.1</v>
      </c>
      <c r="N60" s="17">
        <f t="shared" si="0"/>
        <v>590.5</v>
      </c>
      <c r="O60" s="17">
        <v>467.8</v>
      </c>
      <c r="P60" s="17">
        <v>581.20000000000005</v>
      </c>
      <c r="Q60" s="17">
        <v>374.9</v>
      </c>
      <c r="R60" s="17">
        <f t="shared" si="1"/>
        <v>215.60000000000002</v>
      </c>
      <c r="S60" s="17">
        <v>300.60000000000002</v>
      </c>
      <c r="T60" s="17">
        <f t="shared" si="2"/>
        <v>167.2</v>
      </c>
    </row>
    <row r="61" spans="1:20" x14ac:dyDescent="0.35">
      <c r="A61" s="14" t="s">
        <v>62</v>
      </c>
      <c r="B61" s="15" t="s">
        <v>63</v>
      </c>
      <c r="C61" s="15" t="s">
        <v>64</v>
      </c>
      <c r="D61" s="15" t="s">
        <v>65</v>
      </c>
      <c r="E61" s="15" t="s">
        <v>91</v>
      </c>
      <c r="F61" s="15" t="s">
        <v>67</v>
      </c>
      <c r="G61" s="15" t="s">
        <v>74</v>
      </c>
      <c r="H61" s="15" t="s">
        <v>70</v>
      </c>
      <c r="I61" s="16">
        <v>61515</v>
      </c>
      <c r="J61" s="16">
        <v>55707</v>
      </c>
      <c r="K61" s="16">
        <v>61027</v>
      </c>
      <c r="L61" s="17">
        <v>442.5</v>
      </c>
      <c r="M61" s="17">
        <v>23.2</v>
      </c>
      <c r="N61" s="17">
        <f t="shared" si="0"/>
        <v>419.3</v>
      </c>
      <c r="O61" s="17">
        <v>359.1</v>
      </c>
      <c r="P61" s="17">
        <v>408.2</v>
      </c>
      <c r="Q61" s="17">
        <v>238.6</v>
      </c>
      <c r="R61" s="17">
        <f t="shared" si="1"/>
        <v>180.70000000000002</v>
      </c>
      <c r="S61" s="17">
        <v>209.1</v>
      </c>
      <c r="T61" s="17">
        <f t="shared" si="2"/>
        <v>150.00000000000003</v>
      </c>
    </row>
    <row r="62" spans="1:20" x14ac:dyDescent="0.35">
      <c r="A62" s="14" t="s">
        <v>62</v>
      </c>
      <c r="B62" s="15" t="s">
        <v>63</v>
      </c>
      <c r="C62" s="15" t="s">
        <v>64</v>
      </c>
      <c r="D62" s="15" t="s">
        <v>65</v>
      </c>
      <c r="E62" s="15" t="s">
        <v>91</v>
      </c>
      <c r="F62" s="15" t="s">
        <v>67</v>
      </c>
      <c r="G62" s="15" t="s">
        <v>74</v>
      </c>
      <c r="H62" s="15" t="s">
        <v>71</v>
      </c>
      <c r="I62" s="16">
        <v>120552</v>
      </c>
      <c r="J62" s="16">
        <v>111077</v>
      </c>
      <c r="K62" s="16">
        <v>118355</v>
      </c>
      <c r="L62" s="17">
        <v>1109</v>
      </c>
      <c r="M62" s="17">
        <v>45.8</v>
      </c>
      <c r="N62" s="17">
        <f t="shared" si="0"/>
        <v>1063.2</v>
      </c>
      <c r="O62" s="17">
        <v>929.7</v>
      </c>
      <c r="P62" s="17">
        <v>1035.5</v>
      </c>
      <c r="Q62" s="17">
        <v>668.7</v>
      </c>
      <c r="R62" s="17">
        <f t="shared" si="1"/>
        <v>394.5</v>
      </c>
      <c r="S62" s="17">
        <v>597.20000000000005</v>
      </c>
      <c r="T62" s="17">
        <f t="shared" si="2"/>
        <v>332.5</v>
      </c>
    </row>
    <row r="63" spans="1:20" x14ac:dyDescent="0.35">
      <c r="A63" s="14" t="s">
        <v>62</v>
      </c>
      <c r="B63" s="15" t="s">
        <v>63</v>
      </c>
      <c r="C63" s="15" t="s">
        <v>64</v>
      </c>
      <c r="D63" s="15" t="s">
        <v>65</v>
      </c>
      <c r="E63" s="15" t="s">
        <v>91</v>
      </c>
      <c r="F63" s="15" t="s">
        <v>67</v>
      </c>
      <c r="G63" s="15" t="s">
        <v>75</v>
      </c>
      <c r="H63" s="15" t="s">
        <v>71</v>
      </c>
      <c r="I63" s="16">
        <v>91801</v>
      </c>
      <c r="J63" s="16">
        <v>83871</v>
      </c>
      <c r="K63" s="16">
        <v>90970</v>
      </c>
      <c r="L63" s="17">
        <v>827.2</v>
      </c>
      <c r="M63" s="17">
        <v>41.3</v>
      </c>
      <c r="N63" s="17">
        <f t="shared" si="0"/>
        <v>785.90000000000009</v>
      </c>
      <c r="O63" s="17">
        <v>683.6</v>
      </c>
      <c r="P63" s="17">
        <v>771.3</v>
      </c>
      <c r="Q63" s="17">
        <v>476.6</v>
      </c>
      <c r="R63" s="17">
        <f t="shared" si="1"/>
        <v>309.30000000000007</v>
      </c>
      <c r="S63" s="17">
        <v>418</v>
      </c>
      <c r="T63" s="17">
        <f t="shared" si="2"/>
        <v>265.60000000000002</v>
      </c>
    </row>
    <row r="64" spans="1:20" x14ac:dyDescent="0.35">
      <c r="A64" s="14" t="s">
        <v>62</v>
      </c>
      <c r="B64" s="15" t="s">
        <v>63</v>
      </c>
      <c r="C64" s="15" t="s">
        <v>64</v>
      </c>
      <c r="D64" s="15" t="s">
        <v>65</v>
      </c>
      <c r="E64" s="15" t="s">
        <v>91</v>
      </c>
      <c r="F64" s="15" t="s">
        <v>67</v>
      </c>
      <c r="G64" s="15" t="s">
        <v>76</v>
      </c>
      <c r="H64" s="15" t="s">
        <v>72</v>
      </c>
      <c r="I64" s="16">
        <v>114788</v>
      </c>
      <c r="J64" s="16">
        <v>102015</v>
      </c>
      <c r="K64" s="16">
        <v>112727</v>
      </c>
      <c r="L64" s="17">
        <v>1805.5</v>
      </c>
      <c r="M64" s="17">
        <v>87.6</v>
      </c>
      <c r="N64" s="17">
        <f t="shared" si="0"/>
        <v>1717.9</v>
      </c>
      <c r="O64" s="17">
        <v>1465.4</v>
      </c>
      <c r="P64" s="17">
        <v>1681</v>
      </c>
      <c r="Q64" s="17">
        <v>1057.5999999999999</v>
      </c>
      <c r="R64" s="17">
        <f t="shared" si="1"/>
        <v>660.30000000000018</v>
      </c>
      <c r="S64" s="17">
        <v>916.5</v>
      </c>
      <c r="T64" s="17">
        <f t="shared" si="2"/>
        <v>548.90000000000009</v>
      </c>
    </row>
    <row r="65" spans="1:20" x14ac:dyDescent="0.35">
      <c r="A65" s="14" t="s">
        <v>62</v>
      </c>
      <c r="B65" s="15" t="s">
        <v>63</v>
      </c>
      <c r="C65" s="15" t="s">
        <v>64</v>
      </c>
      <c r="D65" s="15" t="s">
        <v>65</v>
      </c>
      <c r="E65" s="15" t="s">
        <v>91</v>
      </c>
      <c r="F65" s="15" t="s">
        <v>67</v>
      </c>
      <c r="G65" s="15" t="s">
        <v>77</v>
      </c>
      <c r="H65" s="15" t="s">
        <v>71</v>
      </c>
      <c r="I65" s="16">
        <v>39156</v>
      </c>
      <c r="J65" s="16">
        <v>35780</v>
      </c>
      <c r="K65" s="16">
        <v>38466</v>
      </c>
      <c r="L65" s="17">
        <v>357.8</v>
      </c>
      <c r="M65" s="17">
        <v>21.1</v>
      </c>
      <c r="N65" s="17">
        <f t="shared" si="0"/>
        <v>336.7</v>
      </c>
      <c r="O65" s="17">
        <v>292.10000000000002</v>
      </c>
      <c r="P65" s="17">
        <v>327.60000000000002</v>
      </c>
      <c r="Q65" s="17">
        <v>205.1</v>
      </c>
      <c r="R65" s="17">
        <f t="shared" si="1"/>
        <v>131.6</v>
      </c>
      <c r="S65" s="17">
        <v>181.6</v>
      </c>
      <c r="T65" s="17">
        <f t="shared" si="2"/>
        <v>110.50000000000003</v>
      </c>
    </row>
    <row r="66" spans="1:20" x14ac:dyDescent="0.35">
      <c r="A66" s="14" t="s">
        <v>62</v>
      </c>
      <c r="B66" s="15" t="s">
        <v>63</v>
      </c>
      <c r="C66" s="15" t="s">
        <v>64</v>
      </c>
      <c r="D66" s="15" t="s">
        <v>65</v>
      </c>
      <c r="E66" s="15" t="s">
        <v>91</v>
      </c>
      <c r="F66" s="15" t="s">
        <v>67</v>
      </c>
      <c r="G66" s="15" t="s">
        <v>78</v>
      </c>
      <c r="H66" s="15" t="s">
        <v>71</v>
      </c>
      <c r="I66" s="16">
        <v>59464</v>
      </c>
      <c r="J66" s="16">
        <v>54178</v>
      </c>
      <c r="K66" s="16">
        <v>58769</v>
      </c>
      <c r="L66" s="17">
        <v>546.79999999999995</v>
      </c>
      <c r="M66" s="17">
        <v>29.9</v>
      </c>
      <c r="N66" s="17">
        <f t="shared" si="0"/>
        <v>516.9</v>
      </c>
      <c r="O66" s="17">
        <v>445.8</v>
      </c>
      <c r="P66" s="17">
        <v>506.5</v>
      </c>
      <c r="Q66" s="17">
        <v>317.8</v>
      </c>
      <c r="R66" s="17">
        <f t="shared" si="1"/>
        <v>199.09999999999997</v>
      </c>
      <c r="S66" s="17">
        <v>279</v>
      </c>
      <c r="T66" s="17">
        <f t="shared" si="2"/>
        <v>166.8</v>
      </c>
    </row>
    <row r="67" spans="1:20" x14ac:dyDescent="0.35">
      <c r="A67" s="14" t="s">
        <v>62</v>
      </c>
      <c r="B67" s="15" t="s">
        <v>63</v>
      </c>
      <c r="C67" s="15" t="s">
        <v>64</v>
      </c>
      <c r="D67" s="15" t="s">
        <v>65</v>
      </c>
      <c r="E67" s="15" t="s">
        <v>91</v>
      </c>
      <c r="F67" s="15" t="s">
        <v>79</v>
      </c>
      <c r="G67" s="15" t="s">
        <v>80</v>
      </c>
      <c r="H67" s="15" t="s">
        <v>71</v>
      </c>
      <c r="I67" s="16">
        <v>91779</v>
      </c>
      <c r="J67" s="16">
        <v>83073</v>
      </c>
      <c r="K67" s="16">
        <v>90132</v>
      </c>
      <c r="L67" s="17">
        <v>545.1</v>
      </c>
      <c r="M67" s="17">
        <v>25.4</v>
      </c>
      <c r="N67" s="17">
        <f t="shared" si="0"/>
        <v>519.70000000000005</v>
      </c>
      <c r="O67" s="17">
        <v>452</v>
      </c>
      <c r="P67" s="17">
        <v>512</v>
      </c>
      <c r="Q67" s="17">
        <v>309.5</v>
      </c>
      <c r="R67" s="17">
        <f t="shared" si="1"/>
        <v>210.20000000000005</v>
      </c>
      <c r="S67" s="17">
        <v>276</v>
      </c>
      <c r="T67" s="17">
        <f t="shared" si="2"/>
        <v>176</v>
      </c>
    </row>
    <row r="68" spans="1:20" x14ac:dyDescent="0.35">
      <c r="A68" s="14" t="s">
        <v>62</v>
      </c>
      <c r="B68" s="15" t="s">
        <v>63</v>
      </c>
      <c r="C68" s="15" t="s">
        <v>64</v>
      </c>
      <c r="D68" s="15" t="s">
        <v>65</v>
      </c>
      <c r="E68" s="15" t="s">
        <v>91</v>
      </c>
      <c r="F68" s="15" t="s">
        <v>81</v>
      </c>
      <c r="G68" s="15" t="s">
        <v>82</v>
      </c>
      <c r="H68" s="15" t="s">
        <v>71</v>
      </c>
      <c r="I68" s="16">
        <v>27260</v>
      </c>
      <c r="J68" s="16">
        <v>23839</v>
      </c>
      <c r="K68" s="16">
        <v>27044</v>
      </c>
      <c r="L68" s="17">
        <v>334.6</v>
      </c>
      <c r="M68" s="17">
        <v>18.8</v>
      </c>
      <c r="N68" s="17">
        <f t="shared" ref="N68:N131" si="3">L68-M68</f>
        <v>315.8</v>
      </c>
      <c r="O68" s="17">
        <v>263.89999999999998</v>
      </c>
      <c r="P68" s="17">
        <v>308.10000000000002</v>
      </c>
      <c r="Q68" s="17">
        <v>194.4</v>
      </c>
      <c r="R68" s="17">
        <f t="shared" ref="R68:R131" si="4">N68-Q68</f>
        <v>121.4</v>
      </c>
      <c r="S68" s="17">
        <v>163.69999999999999</v>
      </c>
      <c r="T68" s="17">
        <f t="shared" ref="T68:T131" si="5">O68-S68</f>
        <v>100.19999999999999</v>
      </c>
    </row>
    <row r="69" spans="1:20" x14ac:dyDescent="0.35">
      <c r="A69" s="14" t="s">
        <v>62</v>
      </c>
      <c r="B69" s="15" t="s">
        <v>63</v>
      </c>
      <c r="C69" s="15" t="s">
        <v>64</v>
      </c>
      <c r="D69" s="15" t="s">
        <v>65</v>
      </c>
      <c r="E69" s="15" t="s">
        <v>91</v>
      </c>
      <c r="F69" s="15" t="s">
        <v>83</v>
      </c>
      <c r="G69" s="15" t="s">
        <v>84</v>
      </c>
      <c r="H69" s="15" t="s">
        <v>72</v>
      </c>
      <c r="I69" s="16">
        <v>30888</v>
      </c>
      <c r="J69" s="16">
        <v>24819</v>
      </c>
      <c r="K69" s="16">
        <v>30643</v>
      </c>
      <c r="L69" s="17">
        <v>1220.2</v>
      </c>
      <c r="M69" s="17">
        <v>71.5</v>
      </c>
      <c r="N69" s="17">
        <f t="shared" si="3"/>
        <v>1148.7</v>
      </c>
      <c r="O69" s="17">
        <v>885.7</v>
      </c>
      <c r="P69" s="17">
        <v>1120.5999999999999</v>
      </c>
      <c r="Q69" s="17">
        <v>660.3</v>
      </c>
      <c r="R69" s="17">
        <f t="shared" si="4"/>
        <v>488.40000000000009</v>
      </c>
      <c r="S69" s="17">
        <v>514.6</v>
      </c>
      <c r="T69" s="17">
        <f t="shared" si="5"/>
        <v>371.1</v>
      </c>
    </row>
    <row r="70" spans="1:20" x14ac:dyDescent="0.35">
      <c r="A70" s="14" t="s">
        <v>62</v>
      </c>
      <c r="B70" s="15" t="s">
        <v>63</v>
      </c>
      <c r="C70" s="15" t="s">
        <v>64</v>
      </c>
      <c r="D70" s="15" t="s">
        <v>65</v>
      </c>
      <c r="E70" s="15" t="s">
        <v>91</v>
      </c>
      <c r="F70" s="15" t="s">
        <v>85</v>
      </c>
      <c r="G70" s="15" t="s">
        <v>86</v>
      </c>
      <c r="H70" s="15" t="s">
        <v>72</v>
      </c>
      <c r="I70" s="16">
        <v>24706</v>
      </c>
      <c r="J70" s="16">
        <v>21843</v>
      </c>
      <c r="K70" s="16">
        <v>24257</v>
      </c>
      <c r="L70" s="17">
        <v>552.9</v>
      </c>
      <c r="M70" s="17">
        <v>22.7</v>
      </c>
      <c r="N70" s="17">
        <f t="shared" si="3"/>
        <v>530.19999999999993</v>
      </c>
      <c r="O70" s="17">
        <v>446.1</v>
      </c>
      <c r="P70" s="17">
        <v>519.20000000000005</v>
      </c>
      <c r="Q70" s="17">
        <v>344.9</v>
      </c>
      <c r="R70" s="17">
        <f t="shared" si="4"/>
        <v>185.29999999999995</v>
      </c>
      <c r="S70" s="17">
        <v>294.10000000000002</v>
      </c>
      <c r="T70" s="17">
        <f t="shared" si="5"/>
        <v>152</v>
      </c>
    </row>
    <row r="71" spans="1:20" x14ac:dyDescent="0.35">
      <c r="A71" s="14" t="s">
        <v>62</v>
      </c>
      <c r="B71" s="15" t="s">
        <v>63</v>
      </c>
      <c r="C71" s="15" t="s">
        <v>64</v>
      </c>
      <c r="D71" s="15" t="s">
        <v>65</v>
      </c>
      <c r="E71" s="15" t="s">
        <v>91</v>
      </c>
      <c r="F71" s="15" t="s">
        <v>87</v>
      </c>
      <c r="G71" s="15" t="s">
        <v>88</v>
      </c>
      <c r="H71" s="15" t="s">
        <v>72</v>
      </c>
      <c r="I71" s="16">
        <v>10120</v>
      </c>
      <c r="J71" s="16">
        <v>8378</v>
      </c>
      <c r="K71" s="16">
        <v>10040</v>
      </c>
      <c r="L71" s="17">
        <v>322</v>
      </c>
      <c r="M71" s="17">
        <v>17.3</v>
      </c>
      <c r="N71" s="17">
        <f t="shared" si="3"/>
        <v>304.7</v>
      </c>
      <c r="O71" s="17">
        <v>240.2</v>
      </c>
      <c r="P71" s="17">
        <v>300.2</v>
      </c>
      <c r="Q71" s="17">
        <v>184.6</v>
      </c>
      <c r="R71" s="17">
        <f t="shared" si="4"/>
        <v>120.1</v>
      </c>
      <c r="S71" s="17">
        <v>148</v>
      </c>
      <c r="T71" s="17">
        <f t="shared" si="5"/>
        <v>92.199999999999989</v>
      </c>
    </row>
    <row r="72" spans="1:20" x14ac:dyDescent="0.35">
      <c r="A72" s="14" t="s">
        <v>62</v>
      </c>
      <c r="B72" s="15" t="s">
        <v>63</v>
      </c>
      <c r="C72" s="15" t="s">
        <v>64</v>
      </c>
      <c r="D72" s="15" t="s">
        <v>65</v>
      </c>
      <c r="E72" s="15" t="s">
        <v>92</v>
      </c>
      <c r="F72" s="15" t="s">
        <v>67</v>
      </c>
      <c r="G72" s="15" t="s">
        <v>68</v>
      </c>
      <c r="H72" s="15" t="s">
        <v>69</v>
      </c>
      <c r="I72" s="16">
        <v>381420</v>
      </c>
      <c r="J72" s="16">
        <v>303761</v>
      </c>
      <c r="K72" s="16">
        <v>376506</v>
      </c>
      <c r="L72" s="17">
        <v>2221.8000000000002</v>
      </c>
      <c r="M72" s="17">
        <v>185</v>
      </c>
      <c r="N72" s="17">
        <f t="shared" si="3"/>
        <v>2036.8000000000002</v>
      </c>
      <c r="O72" s="17">
        <v>1545.4</v>
      </c>
      <c r="P72" s="17">
        <v>2006.7</v>
      </c>
      <c r="Q72" s="17">
        <v>1123.8</v>
      </c>
      <c r="R72" s="17">
        <f t="shared" si="4"/>
        <v>913.00000000000023</v>
      </c>
      <c r="S72" s="17">
        <v>861.1</v>
      </c>
      <c r="T72" s="17">
        <f t="shared" si="5"/>
        <v>684.30000000000007</v>
      </c>
    </row>
    <row r="73" spans="1:20" x14ac:dyDescent="0.35">
      <c r="A73" s="14" t="s">
        <v>62</v>
      </c>
      <c r="B73" s="15" t="s">
        <v>63</v>
      </c>
      <c r="C73" s="15" t="s">
        <v>64</v>
      </c>
      <c r="D73" s="15" t="s">
        <v>65</v>
      </c>
      <c r="E73" s="15" t="s">
        <v>92</v>
      </c>
      <c r="F73" s="15" t="s">
        <v>67</v>
      </c>
      <c r="G73" s="15" t="s">
        <v>68</v>
      </c>
      <c r="H73" s="15" t="s">
        <v>70</v>
      </c>
      <c r="I73" s="16">
        <v>472541</v>
      </c>
      <c r="J73" s="16">
        <v>369530</v>
      </c>
      <c r="K73" s="16">
        <v>467107</v>
      </c>
      <c r="L73" s="17">
        <v>3281.9</v>
      </c>
      <c r="M73" s="17">
        <v>233.2</v>
      </c>
      <c r="N73" s="17">
        <f t="shared" si="3"/>
        <v>3048.7000000000003</v>
      </c>
      <c r="O73" s="17">
        <v>2271.6</v>
      </c>
      <c r="P73" s="17">
        <v>2963.9</v>
      </c>
      <c r="Q73" s="17">
        <v>1754.7</v>
      </c>
      <c r="R73" s="17">
        <f t="shared" si="4"/>
        <v>1294.0000000000002</v>
      </c>
      <c r="S73" s="17">
        <v>1323.6</v>
      </c>
      <c r="T73" s="17">
        <f t="shared" si="5"/>
        <v>948</v>
      </c>
    </row>
    <row r="74" spans="1:20" x14ac:dyDescent="0.35">
      <c r="A74" s="14" t="s">
        <v>62</v>
      </c>
      <c r="B74" s="15" t="s">
        <v>63</v>
      </c>
      <c r="C74" s="15" t="s">
        <v>64</v>
      </c>
      <c r="D74" s="15" t="s">
        <v>65</v>
      </c>
      <c r="E74" s="15" t="s">
        <v>92</v>
      </c>
      <c r="F74" s="15" t="s">
        <v>67</v>
      </c>
      <c r="G74" s="15" t="s">
        <v>68</v>
      </c>
      <c r="H74" s="15" t="s">
        <v>71</v>
      </c>
      <c r="I74" s="16">
        <v>560613</v>
      </c>
      <c r="J74" s="16">
        <v>444827</v>
      </c>
      <c r="K74" s="16">
        <v>553030</v>
      </c>
      <c r="L74" s="17">
        <v>4942.3999999999996</v>
      </c>
      <c r="M74" s="17">
        <v>396.9</v>
      </c>
      <c r="N74" s="17">
        <f t="shared" si="3"/>
        <v>4545.5</v>
      </c>
      <c r="O74" s="17">
        <v>3429.2</v>
      </c>
      <c r="P74" s="17">
        <v>4412.3</v>
      </c>
      <c r="Q74" s="17">
        <v>2838.7</v>
      </c>
      <c r="R74" s="17">
        <f t="shared" si="4"/>
        <v>1706.8000000000002</v>
      </c>
      <c r="S74" s="17">
        <v>2166.8000000000002</v>
      </c>
      <c r="T74" s="17">
        <f t="shared" si="5"/>
        <v>1262.3999999999996</v>
      </c>
    </row>
    <row r="75" spans="1:20" x14ac:dyDescent="0.35">
      <c r="A75" s="14" t="s">
        <v>62</v>
      </c>
      <c r="B75" s="15" t="s">
        <v>63</v>
      </c>
      <c r="C75" s="15" t="s">
        <v>64</v>
      </c>
      <c r="D75" s="15" t="s">
        <v>65</v>
      </c>
      <c r="E75" s="15" t="s">
        <v>92</v>
      </c>
      <c r="F75" s="15" t="s">
        <v>67</v>
      </c>
      <c r="G75" s="15" t="s">
        <v>68</v>
      </c>
      <c r="H75" s="15" t="s">
        <v>72</v>
      </c>
      <c r="I75" s="16">
        <v>126464</v>
      </c>
      <c r="J75" s="16">
        <v>97537</v>
      </c>
      <c r="K75" s="16">
        <v>124172</v>
      </c>
      <c r="L75" s="17">
        <v>1517.4</v>
      </c>
      <c r="M75" s="17">
        <v>124</v>
      </c>
      <c r="N75" s="17">
        <f t="shared" si="3"/>
        <v>1393.4</v>
      </c>
      <c r="O75" s="17">
        <v>1033.2</v>
      </c>
      <c r="P75" s="17">
        <v>1364.6</v>
      </c>
      <c r="Q75" s="17">
        <v>904.8</v>
      </c>
      <c r="R75" s="17">
        <f t="shared" si="4"/>
        <v>488.60000000000014</v>
      </c>
      <c r="S75" s="17">
        <v>680.5</v>
      </c>
      <c r="T75" s="17">
        <f t="shared" si="5"/>
        <v>352.70000000000005</v>
      </c>
    </row>
    <row r="76" spans="1:20" x14ac:dyDescent="0.35">
      <c r="A76" s="14" t="s">
        <v>62</v>
      </c>
      <c r="B76" s="15" t="s">
        <v>63</v>
      </c>
      <c r="C76" s="15" t="s">
        <v>64</v>
      </c>
      <c r="D76" s="15" t="s">
        <v>65</v>
      </c>
      <c r="E76" s="15" t="s">
        <v>92</v>
      </c>
      <c r="F76" s="15" t="s">
        <v>67</v>
      </c>
      <c r="G76" s="15" t="s">
        <v>73</v>
      </c>
      <c r="H76" s="15" t="s">
        <v>71</v>
      </c>
      <c r="I76" s="16">
        <v>125560</v>
      </c>
      <c r="J76" s="16">
        <v>91172</v>
      </c>
      <c r="K76" s="16">
        <v>123525</v>
      </c>
      <c r="L76" s="17">
        <v>1116.5</v>
      </c>
      <c r="M76" s="17">
        <v>91.4</v>
      </c>
      <c r="N76" s="17">
        <f t="shared" si="3"/>
        <v>1025.0999999999999</v>
      </c>
      <c r="O76" s="17">
        <v>706.2</v>
      </c>
      <c r="P76" s="17">
        <v>993.9</v>
      </c>
      <c r="Q76" s="17">
        <v>649.5</v>
      </c>
      <c r="R76" s="17">
        <f t="shared" si="4"/>
        <v>375.59999999999991</v>
      </c>
      <c r="S76" s="17">
        <v>456.2</v>
      </c>
      <c r="T76" s="17">
        <f t="shared" si="5"/>
        <v>250.00000000000006</v>
      </c>
    </row>
    <row r="77" spans="1:20" x14ac:dyDescent="0.35">
      <c r="A77" s="14" t="s">
        <v>62</v>
      </c>
      <c r="B77" s="15" t="s">
        <v>63</v>
      </c>
      <c r="C77" s="15" t="s">
        <v>64</v>
      </c>
      <c r="D77" s="15" t="s">
        <v>65</v>
      </c>
      <c r="E77" s="15" t="s">
        <v>92</v>
      </c>
      <c r="F77" s="15" t="s">
        <v>67</v>
      </c>
      <c r="G77" s="15" t="s">
        <v>73</v>
      </c>
      <c r="H77" s="15" t="s">
        <v>72</v>
      </c>
      <c r="I77" s="16">
        <v>46708</v>
      </c>
      <c r="J77" s="16">
        <v>33501</v>
      </c>
      <c r="K77" s="16">
        <v>46146</v>
      </c>
      <c r="L77" s="17">
        <v>554.20000000000005</v>
      </c>
      <c r="M77" s="17">
        <v>43</v>
      </c>
      <c r="N77" s="17">
        <f t="shared" si="3"/>
        <v>511.20000000000005</v>
      </c>
      <c r="O77" s="17">
        <v>351.8</v>
      </c>
      <c r="P77" s="17">
        <v>499.8</v>
      </c>
      <c r="Q77" s="17">
        <v>330.6</v>
      </c>
      <c r="R77" s="17">
        <f t="shared" si="4"/>
        <v>180.60000000000002</v>
      </c>
      <c r="S77" s="17">
        <v>229.9</v>
      </c>
      <c r="T77" s="17">
        <f t="shared" si="5"/>
        <v>121.9</v>
      </c>
    </row>
    <row r="78" spans="1:20" x14ac:dyDescent="0.35">
      <c r="A78" s="14" t="s">
        <v>62</v>
      </c>
      <c r="B78" s="15" t="s">
        <v>63</v>
      </c>
      <c r="C78" s="15" t="s">
        <v>64</v>
      </c>
      <c r="D78" s="15" t="s">
        <v>65</v>
      </c>
      <c r="E78" s="15" t="s">
        <v>92</v>
      </c>
      <c r="F78" s="15" t="s">
        <v>67</v>
      </c>
      <c r="G78" s="15" t="s">
        <v>74</v>
      </c>
      <c r="H78" s="15" t="s">
        <v>70</v>
      </c>
      <c r="I78" s="16">
        <v>214706</v>
      </c>
      <c r="J78" s="16">
        <v>165462</v>
      </c>
      <c r="K78" s="16">
        <v>210500</v>
      </c>
      <c r="L78" s="17">
        <v>1441.1</v>
      </c>
      <c r="M78" s="17">
        <v>127.4</v>
      </c>
      <c r="N78" s="17">
        <f t="shared" si="3"/>
        <v>1313.6999999999998</v>
      </c>
      <c r="O78" s="17">
        <v>965.5</v>
      </c>
      <c r="P78" s="17">
        <v>1280.9000000000001</v>
      </c>
      <c r="Q78" s="17">
        <v>763.1</v>
      </c>
      <c r="R78" s="17">
        <f t="shared" si="4"/>
        <v>550.5999999999998</v>
      </c>
      <c r="S78" s="17">
        <v>569.5</v>
      </c>
      <c r="T78" s="17">
        <f t="shared" si="5"/>
        <v>396</v>
      </c>
    </row>
    <row r="79" spans="1:20" x14ac:dyDescent="0.35">
      <c r="A79" s="14" t="s">
        <v>62</v>
      </c>
      <c r="B79" s="15" t="s">
        <v>63</v>
      </c>
      <c r="C79" s="15" t="s">
        <v>64</v>
      </c>
      <c r="D79" s="15" t="s">
        <v>65</v>
      </c>
      <c r="E79" s="15" t="s">
        <v>92</v>
      </c>
      <c r="F79" s="15" t="s">
        <v>67</v>
      </c>
      <c r="G79" s="15" t="s">
        <v>74</v>
      </c>
      <c r="H79" s="15" t="s">
        <v>71</v>
      </c>
      <c r="I79" s="16">
        <v>195326</v>
      </c>
      <c r="J79" s="16">
        <v>153554</v>
      </c>
      <c r="K79" s="16">
        <v>192336</v>
      </c>
      <c r="L79" s="17">
        <v>1608.4</v>
      </c>
      <c r="M79" s="17">
        <v>137.19999999999999</v>
      </c>
      <c r="N79" s="17">
        <f t="shared" si="3"/>
        <v>1471.2</v>
      </c>
      <c r="O79" s="17">
        <v>1103.4000000000001</v>
      </c>
      <c r="P79" s="17">
        <v>1449.5</v>
      </c>
      <c r="Q79" s="17">
        <v>894.5</v>
      </c>
      <c r="R79" s="17">
        <f t="shared" si="4"/>
        <v>576.70000000000005</v>
      </c>
      <c r="S79" s="17">
        <v>677.2</v>
      </c>
      <c r="T79" s="17">
        <f t="shared" si="5"/>
        <v>426.20000000000005</v>
      </c>
    </row>
    <row r="80" spans="1:20" x14ac:dyDescent="0.35">
      <c r="A80" s="14" t="s">
        <v>62</v>
      </c>
      <c r="B80" s="15" t="s">
        <v>63</v>
      </c>
      <c r="C80" s="15" t="s">
        <v>64</v>
      </c>
      <c r="D80" s="15" t="s">
        <v>65</v>
      </c>
      <c r="E80" s="15" t="s">
        <v>92</v>
      </c>
      <c r="F80" s="15" t="s">
        <v>67</v>
      </c>
      <c r="G80" s="15" t="s">
        <v>75</v>
      </c>
      <c r="H80" s="15" t="s">
        <v>71</v>
      </c>
      <c r="I80" s="16">
        <v>147922</v>
      </c>
      <c r="J80" s="16">
        <v>117068</v>
      </c>
      <c r="K80" s="16">
        <v>146739</v>
      </c>
      <c r="L80" s="17">
        <v>1212.0999999999999</v>
      </c>
      <c r="M80" s="17">
        <v>100</v>
      </c>
      <c r="N80" s="17">
        <f t="shared" si="3"/>
        <v>1112.0999999999999</v>
      </c>
      <c r="O80" s="17">
        <v>835.7</v>
      </c>
      <c r="P80" s="17">
        <v>1091.9000000000001</v>
      </c>
      <c r="Q80" s="17">
        <v>674.1</v>
      </c>
      <c r="R80" s="17">
        <f t="shared" si="4"/>
        <v>437.99999999999989</v>
      </c>
      <c r="S80" s="17">
        <v>518.29999999999995</v>
      </c>
      <c r="T80" s="17">
        <f t="shared" si="5"/>
        <v>317.40000000000009</v>
      </c>
    </row>
    <row r="81" spans="1:20" x14ac:dyDescent="0.35">
      <c r="A81" s="14" t="s">
        <v>62</v>
      </c>
      <c r="B81" s="15" t="s">
        <v>63</v>
      </c>
      <c r="C81" s="15" t="s">
        <v>64</v>
      </c>
      <c r="D81" s="15" t="s">
        <v>65</v>
      </c>
      <c r="E81" s="15" t="s">
        <v>92</v>
      </c>
      <c r="F81" s="15" t="s">
        <v>67</v>
      </c>
      <c r="G81" s="15" t="s">
        <v>76</v>
      </c>
      <c r="H81" s="15" t="s">
        <v>72</v>
      </c>
      <c r="I81" s="16">
        <v>33116</v>
      </c>
      <c r="J81" s="16">
        <v>25369</v>
      </c>
      <c r="K81" s="16">
        <v>32529</v>
      </c>
      <c r="L81" s="17">
        <v>463.3</v>
      </c>
      <c r="M81" s="17">
        <v>33.799999999999997</v>
      </c>
      <c r="N81" s="17">
        <f t="shared" si="3"/>
        <v>429.5</v>
      </c>
      <c r="O81" s="17">
        <v>315.39999999999998</v>
      </c>
      <c r="P81" s="17">
        <v>419.8</v>
      </c>
      <c r="Q81" s="17">
        <v>267.60000000000002</v>
      </c>
      <c r="R81" s="17">
        <f t="shared" si="4"/>
        <v>161.89999999999998</v>
      </c>
      <c r="S81" s="17">
        <v>200</v>
      </c>
      <c r="T81" s="17">
        <f t="shared" si="5"/>
        <v>115.39999999999998</v>
      </c>
    </row>
    <row r="82" spans="1:20" x14ac:dyDescent="0.35">
      <c r="A82" s="14" t="s">
        <v>62</v>
      </c>
      <c r="B82" s="15" t="s">
        <v>63</v>
      </c>
      <c r="C82" s="15" t="s">
        <v>64</v>
      </c>
      <c r="D82" s="15" t="s">
        <v>65</v>
      </c>
      <c r="E82" s="15" t="s">
        <v>92</v>
      </c>
      <c r="F82" s="15" t="s">
        <v>67</v>
      </c>
      <c r="G82" s="15" t="s">
        <v>77</v>
      </c>
      <c r="H82" s="15" t="s">
        <v>71</v>
      </c>
      <c r="I82" s="16">
        <v>74236</v>
      </c>
      <c r="J82" s="16">
        <v>57748</v>
      </c>
      <c r="K82" s="16">
        <v>73348</v>
      </c>
      <c r="L82" s="17">
        <v>624.5</v>
      </c>
      <c r="M82" s="17">
        <v>44.5</v>
      </c>
      <c r="N82" s="17">
        <f t="shared" si="3"/>
        <v>580</v>
      </c>
      <c r="O82" s="17">
        <v>426.6</v>
      </c>
      <c r="P82" s="17">
        <v>562.5</v>
      </c>
      <c r="Q82" s="17">
        <v>358.2</v>
      </c>
      <c r="R82" s="17">
        <f t="shared" si="4"/>
        <v>221.8</v>
      </c>
      <c r="S82" s="17">
        <v>269.89999999999998</v>
      </c>
      <c r="T82" s="17">
        <f t="shared" si="5"/>
        <v>156.70000000000005</v>
      </c>
    </row>
    <row r="83" spans="1:20" x14ac:dyDescent="0.35">
      <c r="A83" s="14" t="s">
        <v>62</v>
      </c>
      <c r="B83" s="15" t="s">
        <v>63</v>
      </c>
      <c r="C83" s="15" t="s">
        <v>64</v>
      </c>
      <c r="D83" s="15" t="s">
        <v>65</v>
      </c>
      <c r="E83" s="15" t="s">
        <v>92</v>
      </c>
      <c r="F83" s="15" t="s">
        <v>67</v>
      </c>
      <c r="G83" s="15" t="s">
        <v>78</v>
      </c>
      <c r="H83" s="15" t="s">
        <v>71</v>
      </c>
      <c r="I83" s="16">
        <v>115819</v>
      </c>
      <c r="J83" s="16">
        <v>90615</v>
      </c>
      <c r="K83" s="16">
        <v>114900</v>
      </c>
      <c r="L83" s="17">
        <v>938.2</v>
      </c>
      <c r="M83" s="17">
        <v>67</v>
      </c>
      <c r="N83" s="17">
        <f t="shared" si="3"/>
        <v>871.2</v>
      </c>
      <c r="O83" s="17">
        <v>647.6</v>
      </c>
      <c r="P83" s="17">
        <v>853.3</v>
      </c>
      <c r="Q83" s="17">
        <v>544.70000000000005</v>
      </c>
      <c r="R83" s="17">
        <f t="shared" si="4"/>
        <v>326.5</v>
      </c>
      <c r="S83" s="17">
        <v>414.1</v>
      </c>
      <c r="T83" s="17">
        <f t="shared" si="5"/>
        <v>233.5</v>
      </c>
    </row>
    <row r="84" spans="1:20" x14ac:dyDescent="0.35">
      <c r="A84" s="14" t="s">
        <v>62</v>
      </c>
      <c r="B84" s="15" t="s">
        <v>63</v>
      </c>
      <c r="C84" s="15" t="s">
        <v>64</v>
      </c>
      <c r="D84" s="15" t="s">
        <v>65</v>
      </c>
      <c r="E84" s="15" t="s">
        <v>92</v>
      </c>
      <c r="F84" s="15" t="s">
        <v>79</v>
      </c>
      <c r="G84" s="15" t="s">
        <v>80</v>
      </c>
      <c r="H84" s="15" t="s">
        <v>71</v>
      </c>
      <c r="I84" s="16">
        <v>157264</v>
      </c>
      <c r="J84" s="16">
        <v>122424</v>
      </c>
      <c r="K84" s="16">
        <v>156016</v>
      </c>
      <c r="L84" s="17">
        <v>839.7</v>
      </c>
      <c r="M84" s="17">
        <v>73</v>
      </c>
      <c r="N84" s="17">
        <f t="shared" si="3"/>
        <v>766.7</v>
      </c>
      <c r="O84" s="17">
        <v>571.9</v>
      </c>
      <c r="P84" s="17">
        <v>751</v>
      </c>
      <c r="Q84" s="17">
        <v>449.4</v>
      </c>
      <c r="R84" s="17">
        <f t="shared" si="4"/>
        <v>317.30000000000007</v>
      </c>
      <c r="S84" s="17">
        <v>338.4</v>
      </c>
      <c r="T84" s="17">
        <f t="shared" si="5"/>
        <v>233.5</v>
      </c>
    </row>
    <row r="85" spans="1:20" x14ac:dyDescent="0.35">
      <c r="A85" s="14" t="s">
        <v>62</v>
      </c>
      <c r="B85" s="15" t="s">
        <v>63</v>
      </c>
      <c r="C85" s="15" t="s">
        <v>64</v>
      </c>
      <c r="D85" s="15" t="s">
        <v>65</v>
      </c>
      <c r="E85" s="15" t="s">
        <v>92</v>
      </c>
      <c r="F85" s="15" t="s">
        <v>81</v>
      </c>
      <c r="G85" s="15" t="s">
        <v>82</v>
      </c>
      <c r="H85" s="15" t="s">
        <v>71</v>
      </c>
      <c r="I85" s="16">
        <v>54754</v>
      </c>
      <c r="J85" s="16">
        <v>41198</v>
      </c>
      <c r="K85" s="16">
        <v>54319</v>
      </c>
      <c r="L85" s="17">
        <v>633.1</v>
      </c>
      <c r="M85" s="17">
        <v>51.2</v>
      </c>
      <c r="N85" s="17">
        <f t="shared" si="3"/>
        <v>581.9</v>
      </c>
      <c r="O85" s="17">
        <v>419.7</v>
      </c>
      <c r="P85" s="17">
        <v>573</v>
      </c>
      <c r="Q85" s="17">
        <v>365.3</v>
      </c>
      <c r="R85" s="17">
        <f t="shared" si="4"/>
        <v>216.59999999999997</v>
      </c>
      <c r="S85" s="17">
        <v>266.8</v>
      </c>
      <c r="T85" s="17">
        <f t="shared" si="5"/>
        <v>152.89999999999998</v>
      </c>
    </row>
    <row r="86" spans="1:20" x14ac:dyDescent="0.35">
      <c r="A86" s="14" t="s">
        <v>62</v>
      </c>
      <c r="B86" s="15" t="s">
        <v>63</v>
      </c>
      <c r="C86" s="15" t="s">
        <v>64</v>
      </c>
      <c r="D86" s="15" t="s">
        <v>65</v>
      </c>
      <c r="E86" s="15" t="s">
        <v>92</v>
      </c>
      <c r="F86" s="15" t="s">
        <v>83</v>
      </c>
      <c r="G86" s="15" t="s">
        <v>84</v>
      </c>
      <c r="H86" s="15" t="s">
        <v>72</v>
      </c>
      <c r="I86" s="16">
        <v>27619</v>
      </c>
      <c r="J86" s="16">
        <v>19310</v>
      </c>
      <c r="K86" s="16">
        <v>27400</v>
      </c>
      <c r="L86" s="17">
        <v>940.4</v>
      </c>
      <c r="M86" s="17">
        <v>72.2</v>
      </c>
      <c r="N86" s="17">
        <f t="shared" si="3"/>
        <v>868.19999999999993</v>
      </c>
      <c r="O86" s="17">
        <v>580.79999999999995</v>
      </c>
      <c r="P86" s="17">
        <v>855.4</v>
      </c>
      <c r="Q86" s="17">
        <v>503.6</v>
      </c>
      <c r="R86" s="17">
        <f t="shared" si="4"/>
        <v>364.59999999999991</v>
      </c>
      <c r="S86" s="17">
        <v>344.2</v>
      </c>
      <c r="T86" s="17">
        <f t="shared" si="5"/>
        <v>236.59999999999997</v>
      </c>
    </row>
    <row r="87" spans="1:20" x14ac:dyDescent="0.35">
      <c r="A87" s="14" t="s">
        <v>62</v>
      </c>
      <c r="B87" s="15" t="s">
        <v>63</v>
      </c>
      <c r="C87" s="15" t="s">
        <v>64</v>
      </c>
      <c r="D87" s="15" t="s">
        <v>65</v>
      </c>
      <c r="E87" s="15" t="s">
        <v>92</v>
      </c>
      <c r="F87" s="15" t="s">
        <v>85</v>
      </c>
      <c r="G87" s="15" t="s">
        <v>86</v>
      </c>
      <c r="H87" s="15" t="s">
        <v>72</v>
      </c>
      <c r="I87" s="16">
        <v>21049</v>
      </c>
      <c r="J87" s="16">
        <v>16104</v>
      </c>
      <c r="K87" s="16">
        <v>20866</v>
      </c>
      <c r="L87" s="17">
        <v>456.7</v>
      </c>
      <c r="M87" s="17">
        <v>39.5</v>
      </c>
      <c r="N87" s="17">
        <f t="shared" si="3"/>
        <v>417.2</v>
      </c>
      <c r="O87" s="17">
        <v>302.3</v>
      </c>
      <c r="P87" s="17">
        <v>407.7</v>
      </c>
      <c r="Q87" s="17">
        <v>275.89999999999998</v>
      </c>
      <c r="R87" s="17">
        <f t="shared" si="4"/>
        <v>141.30000000000001</v>
      </c>
      <c r="S87" s="17">
        <v>203</v>
      </c>
      <c r="T87" s="17">
        <f t="shared" si="5"/>
        <v>99.300000000000011</v>
      </c>
    </row>
    <row r="88" spans="1:20" x14ac:dyDescent="0.35">
      <c r="A88" s="14" t="s">
        <v>62</v>
      </c>
      <c r="B88" s="15" t="s">
        <v>63</v>
      </c>
      <c r="C88" s="15" t="s">
        <v>64</v>
      </c>
      <c r="D88" s="15" t="s">
        <v>65</v>
      </c>
      <c r="E88" s="15" t="s">
        <v>92</v>
      </c>
      <c r="F88" s="15" t="s">
        <v>87</v>
      </c>
      <c r="G88" s="15" t="s">
        <v>88</v>
      </c>
      <c r="H88" s="15" t="s">
        <v>72</v>
      </c>
      <c r="I88" s="16">
        <v>8002</v>
      </c>
      <c r="J88" s="16">
        <v>5644</v>
      </c>
      <c r="K88" s="16">
        <v>7887</v>
      </c>
      <c r="L88" s="17">
        <v>233.4</v>
      </c>
      <c r="M88" s="17">
        <v>19.399999999999999</v>
      </c>
      <c r="N88" s="17">
        <f t="shared" si="3"/>
        <v>214</v>
      </c>
      <c r="O88" s="17">
        <v>143.80000000000001</v>
      </c>
      <c r="P88" s="17">
        <v>210.6</v>
      </c>
      <c r="Q88" s="17">
        <v>132.80000000000001</v>
      </c>
      <c r="R88" s="17">
        <f t="shared" si="4"/>
        <v>81.199999999999989</v>
      </c>
      <c r="S88" s="17">
        <v>90.4</v>
      </c>
      <c r="T88" s="17">
        <f t="shared" si="5"/>
        <v>53.400000000000006</v>
      </c>
    </row>
    <row r="89" spans="1:20" x14ac:dyDescent="0.35">
      <c r="A89" s="14" t="s">
        <v>62</v>
      </c>
      <c r="B89" s="15" t="s">
        <v>63</v>
      </c>
      <c r="C89" s="15" t="s">
        <v>93</v>
      </c>
      <c r="D89" s="15" t="s">
        <v>94</v>
      </c>
      <c r="E89" s="15" t="s">
        <v>66</v>
      </c>
      <c r="F89" s="15" t="s">
        <v>67</v>
      </c>
      <c r="G89" s="15" t="s">
        <v>68</v>
      </c>
      <c r="H89" s="15" t="s">
        <v>69</v>
      </c>
      <c r="I89" s="16">
        <v>135092</v>
      </c>
      <c r="J89" s="16">
        <v>121856</v>
      </c>
      <c r="K89" s="16">
        <v>132102</v>
      </c>
      <c r="L89" s="17">
        <v>700.5</v>
      </c>
      <c r="M89" s="17">
        <v>97.7</v>
      </c>
      <c r="N89" s="17">
        <f t="shared" si="3"/>
        <v>602.79999999999995</v>
      </c>
      <c r="O89" s="17">
        <v>512.1</v>
      </c>
      <c r="P89" s="17">
        <v>580.29999999999995</v>
      </c>
      <c r="Q89" s="17">
        <v>339.2</v>
      </c>
      <c r="R89" s="17">
        <f t="shared" si="4"/>
        <v>263.59999999999997</v>
      </c>
      <c r="S89" s="17">
        <v>292.39999999999998</v>
      </c>
      <c r="T89" s="17">
        <f t="shared" si="5"/>
        <v>219.70000000000005</v>
      </c>
    </row>
    <row r="90" spans="1:20" x14ac:dyDescent="0.35">
      <c r="A90" s="14" t="s">
        <v>62</v>
      </c>
      <c r="B90" s="15" t="s">
        <v>63</v>
      </c>
      <c r="C90" s="15" t="s">
        <v>93</v>
      </c>
      <c r="D90" s="15" t="s">
        <v>94</v>
      </c>
      <c r="E90" s="15" t="s">
        <v>66</v>
      </c>
      <c r="F90" s="15" t="s">
        <v>67</v>
      </c>
      <c r="G90" s="15" t="s">
        <v>68</v>
      </c>
      <c r="H90" s="15" t="s">
        <v>70</v>
      </c>
      <c r="I90" s="16">
        <v>194660</v>
      </c>
      <c r="J90" s="16">
        <v>173836</v>
      </c>
      <c r="K90" s="16">
        <v>190092</v>
      </c>
      <c r="L90" s="17">
        <v>1209.4000000000001</v>
      </c>
      <c r="M90" s="17">
        <v>159.80000000000001</v>
      </c>
      <c r="N90" s="17">
        <f t="shared" si="3"/>
        <v>1049.6000000000001</v>
      </c>
      <c r="O90" s="17">
        <v>881.7</v>
      </c>
      <c r="P90" s="17">
        <v>1006.5</v>
      </c>
      <c r="Q90" s="17">
        <v>604.9</v>
      </c>
      <c r="R90" s="17">
        <f t="shared" si="4"/>
        <v>444.70000000000016</v>
      </c>
      <c r="S90" s="17">
        <v>520.6</v>
      </c>
      <c r="T90" s="17">
        <f t="shared" si="5"/>
        <v>361.1</v>
      </c>
    </row>
    <row r="91" spans="1:20" x14ac:dyDescent="0.35">
      <c r="A91" s="14" t="s">
        <v>62</v>
      </c>
      <c r="B91" s="15" t="s">
        <v>63</v>
      </c>
      <c r="C91" s="15" t="s">
        <v>93</v>
      </c>
      <c r="D91" s="15" t="s">
        <v>94</v>
      </c>
      <c r="E91" s="15" t="s">
        <v>66</v>
      </c>
      <c r="F91" s="15" t="s">
        <v>67</v>
      </c>
      <c r="G91" s="15" t="s">
        <v>68</v>
      </c>
      <c r="H91" s="15" t="s">
        <v>71</v>
      </c>
      <c r="I91" s="16">
        <v>512446</v>
      </c>
      <c r="J91" s="16">
        <v>466052</v>
      </c>
      <c r="K91" s="16">
        <v>502656</v>
      </c>
      <c r="L91" s="17">
        <v>4210.2</v>
      </c>
      <c r="M91" s="17">
        <v>623.70000000000005</v>
      </c>
      <c r="N91" s="17">
        <f t="shared" si="3"/>
        <v>3586.5</v>
      </c>
      <c r="O91" s="17">
        <v>3081.1</v>
      </c>
      <c r="P91" s="17">
        <v>3467.7</v>
      </c>
      <c r="Q91" s="17">
        <v>2195.9</v>
      </c>
      <c r="R91" s="17">
        <f t="shared" si="4"/>
        <v>1390.6</v>
      </c>
      <c r="S91" s="17">
        <v>1927.3</v>
      </c>
      <c r="T91" s="17">
        <f t="shared" si="5"/>
        <v>1153.8</v>
      </c>
    </row>
    <row r="92" spans="1:20" x14ac:dyDescent="0.35">
      <c r="A92" s="14" t="s">
        <v>62</v>
      </c>
      <c r="B92" s="15" t="s">
        <v>63</v>
      </c>
      <c r="C92" s="15" t="s">
        <v>93</v>
      </c>
      <c r="D92" s="15" t="s">
        <v>94</v>
      </c>
      <c r="E92" s="15" t="s">
        <v>66</v>
      </c>
      <c r="F92" s="15" t="s">
        <v>67</v>
      </c>
      <c r="G92" s="15" t="s">
        <v>68</v>
      </c>
      <c r="H92" s="15" t="s">
        <v>72</v>
      </c>
      <c r="I92" s="16">
        <v>150021</v>
      </c>
      <c r="J92" s="16">
        <v>133669</v>
      </c>
      <c r="K92" s="16">
        <v>145239</v>
      </c>
      <c r="L92" s="17">
        <v>1611.6</v>
      </c>
      <c r="M92" s="17">
        <v>222.2</v>
      </c>
      <c r="N92" s="17">
        <f t="shared" si="3"/>
        <v>1389.3999999999999</v>
      </c>
      <c r="O92" s="17">
        <v>1174.2</v>
      </c>
      <c r="P92" s="17">
        <v>1339.6</v>
      </c>
      <c r="Q92" s="17">
        <v>873.2</v>
      </c>
      <c r="R92" s="17">
        <f t="shared" si="4"/>
        <v>516.19999999999982</v>
      </c>
      <c r="S92" s="17">
        <v>742.9</v>
      </c>
      <c r="T92" s="17">
        <f t="shared" si="5"/>
        <v>431.30000000000007</v>
      </c>
    </row>
    <row r="93" spans="1:20" x14ac:dyDescent="0.35">
      <c r="A93" s="14" t="s">
        <v>62</v>
      </c>
      <c r="B93" s="15" t="s">
        <v>63</v>
      </c>
      <c r="C93" s="15" t="s">
        <v>93</v>
      </c>
      <c r="D93" s="15" t="s">
        <v>94</v>
      </c>
      <c r="E93" s="15" t="s">
        <v>66</v>
      </c>
      <c r="F93" s="15" t="s">
        <v>67</v>
      </c>
      <c r="G93" s="15" t="s">
        <v>73</v>
      </c>
      <c r="H93" s="15" t="s">
        <v>71</v>
      </c>
      <c r="I93" s="16">
        <v>121230</v>
      </c>
      <c r="J93" s="16">
        <v>101055</v>
      </c>
      <c r="K93" s="16">
        <v>119094</v>
      </c>
      <c r="L93" s="17">
        <v>991.4</v>
      </c>
      <c r="M93" s="17">
        <v>145.30000000000001</v>
      </c>
      <c r="N93" s="17">
        <f t="shared" si="3"/>
        <v>846.09999999999991</v>
      </c>
      <c r="O93" s="17">
        <v>674</v>
      </c>
      <c r="P93" s="17">
        <v>811.8</v>
      </c>
      <c r="Q93" s="17">
        <v>525.20000000000005</v>
      </c>
      <c r="R93" s="17">
        <f t="shared" si="4"/>
        <v>320.89999999999986</v>
      </c>
      <c r="S93" s="17">
        <v>421.9</v>
      </c>
      <c r="T93" s="17">
        <f t="shared" si="5"/>
        <v>252.10000000000002</v>
      </c>
    </row>
    <row r="94" spans="1:20" x14ac:dyDescent="0.35">
      <c r="A94" s="14" t="s">
        <v>62</v>
      </c>
      <c r="B94" s="15" t="s">
        <v>63</v>
      </c>
      <c r="C94" s="15" t="s">
        <v>93</v>
      </c>
      <c r="D94" s="15" t="s">
        <v>94</v>
      </c>
      <c r="E94" s="15" t="s">
        <v>66</v>
      </c>
      <c r="F94" s="15" t="s">
        <v>67</v>
      </c>
      <c r="G94" s="15" t="s">
        <v>73</v>
      </c>
      <c r="H94" s="15" t="s">
        <v>72</v>
      </c>
      <c r="I94" s="16">
        <v>51761</v>
      </c>
      <c r="J94" s="16">
        <v>42322</v>
      </c>
      <c r="K94" s="16">
        <v>50260</v>
      </c>
      <c r="L94" s="17">
        <v>553.6</v>
      </c>
      <c r="M94" s="17">
        <v>72</v>
      </c>
      <c r="N94" s="17">
        <f t="shared" si="3"/>
        <v>481.6</v>
      </c>
      <c r="O94" s="17">
        <v>371.6</v>
      </c>
      <c r="P94" s="17">
        <v>467.7</v>
      </c>
      <c r="Q94" s="17">
        <v>309.60000000000002</v>
      </c>
      <c r="R94" s="17">
        <f t="shared" si="4"/>
        <v>172</v>
      </c>
      <c r="S94" s="17">
        <v>240.6</v>
      </c>
      <c r="T94" s="17">
        <f t="shared" si="5"/>
        <v>131.00000000000003</v>
      </c>
    </row>
    <row r="95" spans="1:20" x14ac:dyDescent="0.35">
      <c r="A95" s="14" t="s">
        <v>62</v>
      </c>
      <c r="B95" s="15" t="s">
        <v>63</v>
      </c>
      <c r="C95" s="15" t="s">
        <v>93</v>
      </c>
      <c r="D95" s="15" t="s">
        <v>94</v>
      </c>
      <c r="E95" s="15" t="s">
        <v>66</v>
      </c>
      <c r="F95" s="15" t="s">
        <v>67</v>
      </c>
      <c r="G95" s="15" t="s">
        <v>74</v>
      </c>
      <c r="H95" s="15" t="s">
        <v>70</v>
      </c>
      <c r="I95" s="16">
        <v>89552</v>
      </c>
      <c r="J95" s="16">
        <v>79887</v>
      </c>
      <c r="K95" s="16">
        <v>87289</v>
      </c>
      <c r="L95" s="17">
        <v>537</v>
      </c>
      <c r="M95" s="17">
        <v>74.099999999999994</v>
      </c>
      <c r="N95" s="17">
        <f t="shared" si="3"/>
        <v>462.9</v>
      </c>
      <c r="O95" s="17">
        <v>394</v>
      </c>
      <c r="P95" s="17">
        <v>443.9</v>
      </c>
      <c r="Q95" s="17">
        <v>261.39999999999998</v>
      </c>
      <c r="R95" s="17">
        <f t="shared" si="4"/>
        <v>201.5</v>
      </c>
      <c r="S95" s="17">
        <v>226.2</v>
      </c>
      <c r="T95" s="17">
        <f t="shared" si="5"/>
        <v>167.8</v>
      </c>
    </row>
    <row r="96" spans="1:20" x14ac:dyDescent="0.35">
      <c r="A96" s="14" t="s">
        <v>62</v>
      </c>
      <c r="B96" s="15" t="s">
        <v>63</v>
      </c>
      <c r="C96" s="15" t="s">
        <v>93</v>
      </c>
      <c r="D96" s="15" t="s">
        <v>94</v>
      </c>
      <c r="E96" s="15" t="s">
        <v>66</v>
      </c>
      <c r="F96" s="15" t="s">
        <v>67</v>
      </c>
      <c r="G96" s="15" t="s">
        <v>74</v>
      </c>
      <c r="H96" s="15" t="s">
        <v>71</v>
      </c>
      <c r="I96" s="16">
        <v>169361</v>
      </c>
      <c r="J96" s="16">
        <v>150516</v>
      </c>
      <c r="K96" s="16">
        <v>166169</v>
      </c>
      <c r="L96" s="17">
        <v>1280.9000000000001</v>
      </c>
      <c r="M96" s="17">
        <v>190.8</v>
      </c>
      <c r="N96" s="17">
        <f t="shared" si="3"/>
        <v>1090.1000000000001</v>
      </c>
      <c r="O96" s="17">
        <v>923.1</v>
      </c>
      <c r="P96" s="17">
        <v>1044.0999999999999</v>
      </c>
      <c r="Q96" s="17">
        <v>684.3</v>
      </c>
      <c r="R96" s="17">
        <f t="shared" si="4"/>
        <v>405.80000000000018</v>
      </c>
      <c r="S96" s="17">
        <v>593.29999999999995</v>
      </c>
      <c r="T96" s="17">
        <f t="shared" si="5"/>
        <v>329.80000000000007</v>
      </c>
    </row>
    <row r="97" spans="1:20" x14ac:dyDescent="0.35">
      <c r="A97" s="14" t="s">
        <v>62</v>
      </c>
      <c r="B97" s="15" t="s">
        <v>63</v>
      </c>
      <c r="C97" s="15" t="s">
        <v>93</v>
      </c>
      <c r="D97" s="15" t="s">
        <v>94</v>
      </c>
      <c r="E97" s="15" t="s">
        <v>66</v>
      </c>
      <c r="F97" s="15" t="s">
        <v>67</v>
      </c>
      <c r="G97" s="15" t="s">
        <v>75</v>
      </c>
      <c r="H97" s="15" t="s">
        <v>71</v>
      </c>
      <c r="I97" s="16">
        <v>135683</v>
      </c>
      <c r="J97" s="16">
        <v>120930</v>
      </c>
      <c r="K97" s="16">
        <v>131958</v>
      </c>
      <c r="L97" s="17">
        <v>1050.7</v>
      </c>
      <c r="M97" s="17">
        <v>153.80000000000001</v>
      </c>
      <c r="N97" s="17">
        <f t="shared" si="3"/>
        <v>896.90000000000009</v>
      </c>
      <c r="O97" s="17">
        <v>756.3</v>
      </c>
      <c r="P97" s="17">
        <v>865.1</v>
      </c>
      <c r="Q97" s="17">
        <v>563.6</v>
      </c>
      <c r="R97" s="17">
        <f t="shared" si="4"/>
        <v>333.30000000000007</v>
      </c>
      <c r="S97" s="17">
        <v>485.5</v>
      </c>
      <c r="T97" s="17">
        <f t="shared" si="5"/>
        <v>270.79999999999995</v>
      </c>
    </row>
    <row r="98" spans="1:20" x14ac:dyDescent="0.35">
      <c r="A98" s="14" t="s">
        <v>62</v>
      </c>
      <c r="B98" s="15" t="s">
        <v>63</v>
      </c>
      <c r="C98" s="15" t="s">
        <v>93</v>
      </c>
      <c r="D98" s="15" t="s">
        <v>94</v>
      </c>
      <c r="E98" s="15" t="s">
        <v>66</v>
      </c>
      <c r="F98" s="15" t="s">
        <v>67</v>
      </c>
      <c r="G98" s="15" t="s">
        <v>76</v>
      </c>
      <c r="H98" s="15" t="s">
        <v>72</v>
      </c>
      <c r="I98" s="16">
        <v>39842</v>
      </c>
      <c r="J98" s="16">
        <v>34953</v>
      </c>
      <c r="K98" s="16">
        <v>38872</v>
      </c>
      <c r="L98" s="17">
        <v>505.3</v>
      </c>
      <c r="M98" s="17">
        <v>74.900000000000006</v>
      </c>
      <c r="N98" s="17">
        <f t="shared" si="3"/>
        <v>430.4</v>
      </c>
      <c r="O98" s="17">
        <v>360.7</v>
      </c>
      <c r="P98" s="17">
        <v>413.6</v>
      </c>
      <c r="Q98" s="17">
        <v>269.5</v>
      </c>
      <c r="R98" s="17">
        <f t="shared" si="4"/>
        <v>160.89999999999998</v>
      </c>
      <c r="S98" s="17">
        <v>229.5</v>
      </c>
      <c r="T98" s="17">
        <f t="shared" si="5"/>
        <v>131.19999999999999</v>
      </c>
    </row>
    <row r="99" spans="1:20" x14ac:dyDescent="0.35">
      <c r="A99" s="14" t="s">
        <v>62</v>
      </c>
      <c r="B99" s="15" t="s">
        <v>63</v>
      </c>
      <c r="C99" s="15" t="s">
        <v>93</v>
      </c>
      <c r="D99" s="15" t="s">
        <v>94</v>
      </c>
      <c r="E99" s="15" t="s">
        <v>66</v>
      </c>
      <c r="F99" s="15" t="s">
        <v>79</v>
      </c>
      <c r="G99" s="15" t="s">
        <v>95</v>
      </c>
      <c r="H99" s="15" t="s">
        <v>71</v>
      </c>
      <c r="I99" s="16">
        <v>140831</v>
      </c>
      <c r="J99" s="16">
        <v>124381</v>
      </c>
      <c r="K99" s="16">
        <v>138340</v>
      </c>
      <c r="L99" s="17">
        <v>674</v>
      </c>
      <c r="M99" s="17">
        <v>100.4</v>
      </c>
      <c r="N99" s="17">
        <f t="shared" si="3"/>
        <v>573.6</v>
      </c>
      <c r="O99" s="17">
        <v>476.9</v>
      </c>
      <c r="P99" s="17">
        <v>553.9</v>
      </c>
      <c r="Q99" s="17">
        <v>338.4</v>
      </c>
      <c r="R99" s="17">
        <f t="shared" si="4"/>
        <v>235.20000000000005</v>
      </c>
      <c r="S99" s="17">
        <v>288.2</v>
      </c>
      <c r="T99" s="17">
        <f t="shared" si="5"/>
        <v>188.7</v>
      </c>
    </row>
    <row r="100" spans="1:20" x14ac:dyDescent="0.35">
      <c r="A100" s="14" t="s">
        <v>62</v>
      </c>
      <c r="B100" s="15" t="s">
        <v>63</v>
      </c>
      <c r="C100" s="15" t="s">
        <v>93</v>
      </c>
      <c r="D100" s="15" t="s">
        <v>94</v>
      </c>
      <c r="E100" s="15" t="s">
        <v>66</v>
      </c>
      <c r="F100" s="15" t="s">
        <v>81</v>
      </c>
      <c r="G100" s="15" t="s">
        <v>82</v>
      </c>
      <c r="H100" s="15" t="s">
        <v>71</v>
      </c>
      <c r="I100" s="16">
        <v>48886</v>
      </c>
      <c r="J100" s="16">
        <v>42392</v>
      </c>
      <c r="K100" s="16">
        <v>47917</v>
      </c>
      <c r="L100" s="17">
        <v>513.1</v>
      </c>
      <c r="M100" s="17">
        <v>76.3</v>
      </c>
      <c r="N100" s="17">
        <f t="shared" si="3"/>
        <v>436.8</v>
      </c>
      <c r="O100" s="17">
        <v>358.5</v>
      </c>
      <c r="P100" s="17">
        <v>425.4</v>
      </c>
      <c r="Q100" s="17">
        <v>273.2</v>
      </c>
      <c r="R100" s="17">
        <f t="shared" si="4"/>
        <v>163.60000000000002</v>
      </c>
      <c r="S100" s="17">
        <v>227.8</v>
      </c>
      <c r="T100" s="17">
        <f t="shared" si="5"/>
        <v>130.69999999999999</v>
      </c>
    </row>
    <row r="101" spans="1:20" x14ac:dyDescent="0.35">
      <c r="A101" s="14" t="s">
        <v>62</v>
      </c>
      <c r="B101" s="15" t="s">
        <v>63</v>
      </c>
      <c r="C101" s="15" t="s">
        <v>93</v>
      </c>
      <c r="D101" s="15" t="s">
        <v>94</v>
      </c>
      <c r="E101" s="15" t="s">
        <v>66</v>
      </c>
      <c r="F101" s="15" t="s">
        <v>83</v>
      </c>
      <c r="G101" s="15" t="s">
        <v>84</v>
      </c>
      <c r="H101" s="15" t="s">
        <v>72</v>
      </c>
      <c r="I101" s="16">
        <v>44511</v>
      </c>
      <c r="J101" s="16">
        <v>34906</v>
      </c>
      <c r="K101" s="16">
        <v>43284</v>
      </c>
      <c r="L101" s="17">
        <v>1428.6</v>
      </c>
      <c r="M101" s="17">
        <v>189.1</v>
      </c>
      <c r="N101" s="17">
        <f t="shared" si="3"/>
        <v>1239.5</v>
      </c>
      <c r="O101" s="17">
        <v>913.9</v>
      </c>
      <c r="P101" s="17">
        <v>1195.7</v>
      </c>
      <c r="Q101" s="17">
        <v>727.3</v>
      </c>
      <c r="R101" s="17">
        <f t="shared" si="4"/>
        <v>512.20000000000005</v>
      </c>
      <c r="S101" s="17">
        <v>546</v>
      </c>
      <c r="T101" s="17">
        <f t="shared" si="5"/>
        <v>367.9</v>
      </c>
    </row>
    <row r="102" spans="1:20" x14ac:dyDescent="0.35">
      <c r="A102" s="14" t="s">
        <v>62</v>
      </c>
      <c r="B102" s="15" t="s">
        <v>63</v>
      </c>
      <c r="C102" s="15" t="s">
        <v>93</v>
      </c>
      <c r="D102" s="15" t="s">
        <v>94</v>
      </c>
      <c r="E102" s="15" t="s">
        <v>89</v>
      </c>
      <c r="F102" s="15" t="s">
        <v>67</v>
      </c>
      <c r="G102" s="15" t="s">
        <v>68</v>
      </c>
      <c r="H102" s="15" t="s">
        <v>69</v>
      </c>
      <c r="I102" s="16">
        <v>843847</v>
      </c>
      <c r="J102" s="16">
        <v>780913</v>
      </c>
      <c r="K102" s="16">
        <v>823457</v>
      </c>
      <c r="L102" s="17">
        <v>4441.3999999999996</v>
      </c>
      <c r="M102" s="17">
        <v>285.5</v>
      </c>
      <c r="N102" s="17">
        <f t="shared" si="3"/>
        <v>4155.8999999999996</v>
      </c>
      <c r="O102" s="17">
        <v>3631.6</v>
      </c>
      <c r="P102" s="17">
        <v>3988.4</v>
      </c>
      <c r="Q102" s="17">
        <v>2242.8000000000002</v>
      </c>
      <c r="R102" s="17">
        <f t="shared" si="4"/>
        <v>1913.0999999999995</v>
      </c>
      <c r="S102" s="17">
        <v>1989.8</v>
      </c>
      <c r="T102" s="17">
        <f t="shared" si="5"/>
        <v>1641.8</v>
      </c>
    </row>
    <row r="103" spans="1:20" x14ac:dyDescent="0.35">
      <c r="A103" s="14" t="s">
        <v>62</v>
      </c>
      <c r="B103" s="15" t="s">
        <v>63</v>
      </c>
      <c r="C103" s="15" t="s">
        <v>93</v>
      </c>
      <c r="D103" s="15" t="s">
        <v>94</v>
      </c>
      <c r="E103" s="15" t="s">
        <v>89</v>
      </c>
      <c r="F103" s="15" t="s">
        <v>67</v>
      </c>
      <c r="G103" s="15" t="s">
        <v>68</v>
      </c>
      <c r="H103" s="15" t="s">
        <v>70</v>
      </c>
      <c r="I103" s="16">
        <v>646871</v>
      </c>
      <c r="J103" s="16">
        <v>575220</v>
      </c>
      <c r="K103" s="16">
        <v>628458</v>
      </c>
      <c r="L103" s="17">
        <v>3865.4</v>
      </c>
      <c r="M103" s="17">
        <v>289.7</v>
      </c>
      <c r="N103" s="17">
        <f t="shared" si="3"/>
        <v>3575.7000000000003</v>
      </c>
      <c r="O103" s="17">
        <v>3027.9</v>
      </c>
      <c r="P103" s="17">
        <v>3446.8</v>
      </c>
      <c r="Q103" s="17">
        <v>2082.9</v>
      </c>
      <c r="R103" s="17">
        <f t="shared" si="4"/>
        <v>1492.8000000000002</v>
      </c>
      <c r="S103" s="17">
        <v>1793.5</v>
      </c>
      <c r="T103" s="17">
        <f t="shared" si="5"/>
        <v>1234.4000000000001</v>
      </c>
    </row>
    <row r="104" spans="1:20" x14ac:dyDescent="0.35">
      <c r="A104" s="14" t="s">
        <v>62</v>
      </c>
      <c r="B104" s="15" t="s">
        <v>63</v>
      </c>
      <c r="C104" s="15" t="s">
        <v>93</v>
      </c>
      <c r="D104" s="15" t="s">
        <v>94</v>
      </c>
      <c r="E104" s="15" t="s">
        <v>89</v>
      </c>
      <c r="F104" s="15" t="s">
        <v>67</v>
      </c>
      <c r="G104" s="15" t="s">
        <v>68</v>
      </c>
      <c r="H104" s="15" t="s">
        <v>71</v>
      </c>
      <c r="I104" s="16">
        <v>538323</v>
      </c>
      <c r="J104" s="16">
        <v>493511</v>
      </c>
      <c r="K104" s="16">
        <v>524383</v>
      </c>
      <c r="L104" s="17">
        <v>4106.3999999999996</v>
      </c>
      <c r="M104" s="17">
        <v>263.8</v>
      </c>
      <c r="N104" s="17">
        <f t="shared" si="3"/>
        <v>3842.5999999999995</v>
      </c>
      <c r="O104" s="17">
        <v>3362</v>
      </c>
      <c r="P104" s="17">
        <v>3732.4</v>
      </c>
      <c r="Q104" s="17">
        <v>2395.6</v>
      </c>
      <c r="R104" s="17">
        <f t="shared" si="4"/>
        <v>1446.9999999999995</v>
      </c>
      <c r="S104" s="17">
        <v>2139.3000000000002</v>
      </c>
      <c r="T104" s="17">
        <f t="shared" si="5"/>
        <v>1222.6999999999998</v>
      </c>
    </row>
    <row r="105" spans="1:20" x14ac:dyDescent="0.35">
      <c r="A105" s="14" t="s">
        <v>62</v>
      </c>
      <c r="B105" s="15" t="s">
        <v>63</v>
      </c>
      <c r="C105" s="15" t="s">
        <v>93</v>
      </c>
      <c r="D105" s="15" t="s">
        <v>94</v>
      </c>
      <c r="E105" s="15" t="s">
        <v>89</v>
      </c>
      <c r="F105" s="15" t="s">
        <v>67</v>
      </c>
      <c r="G105" s="15" t="s">
        <v>68</v>
      </c>
      <c r="H105" s="15" t="s">
        <v>72</v>
      </c>
      <c r="I105" s="16">
        <v>126386</v>
      </c>
      <c r="J105" s="16">
        <v>112949</v>
      </c>
      <c r="K105" s="16">
        <v>123528</v>
      </c>
      <c r="L105" s="17">
        <v>1330.9</v>
      </c>
      <c r="M105" s="17">
        <v>89.7</v>
      </c>
      <c r="N105" s="17">
        <f t="shared" si="3"/>
        <v>1241.2</v>
      </c>
      <c r="O105" s="17">
        <v>1048.5999999999999</v>
      </c>
      <c r="P105" s="17">
        <v>1201.2</v>
      </c>
      <c r="Q105" s="17">
        <v>805</v>
      </c>
      <c r="R105" s="17">
        <f t="shared" si="4"/>
        <v>436.20000000000005</v>
      </c>
      <c r="S105" s="17">
        <v>686.7</v>
      </c>
      <c r="T105" s="17">
        <f t="shared" si="5"/>
        <v>361.89999999999986</v>
      </c>
    </row>
    <row r="106" spans="1:20" x14ac:dyDescent="0.35">
      <c r="A106" s="14" t="s">
        <v>62</v>
      </c>
      <c r="B106" s="15" t="s">
        <v>63</v>
      </c>
      <c r="C106" s="15" t="s">
        <v>93</v>
      </c>
      <c r="D106" s="15" t="s">
        <v>94</v>
      </c>
      <c r="E106" s="15" t="s">
        <v>89</v>
      </c>
      <c r="F106" s="15" t="s">
        <v>67</v>
      </c>
      <c r="G106" s="15" t="s">
        <v>73</v>
      </c>
      <c r="H106" s="15" t="s">
        <v>71</v>
      </c>
      <c r="I106" s="16">
        <v>156790</v>
      </c>
      <c r="J106" s="16">
        <v>132194</v>
      </c>
      <c r="K106" s="16">
        <v>154019</v>
      </c>
      <c r="L106" s="17">
        <v>1175.2</v>
      </c>
      <c r="M106" s="17">
        <v>72.900000000000006</v>
      </c>
      <c r="N106" s="17">
        <f t="shared" si="3"/>
        <v>1102.3</v>
      </c>
      <c r="O106" s="17">
        <v>884.7</v>
      </c>
      <c r="P106" s="17">
        <v>1066.7</v>
      </c>
      <c r="Q106" s="17">
        <v>677.2</v>
      </c>
      <c r="R106" s="17">
        <f t="shared" si="4"/>
        <v>425.09999999999991</v>
      </c>
      <c r="S106" s="17">
        <v>552.79999999999995</v>
      </c>
      <c r="T106" s="17">
        <f t="shared" si="5"/>
        <v>331.90000000000009</v>
      </c>
    </row>
    <row r="107" spans="1:20" x14ac:dyDescent="0.35">
      <c r="A107" s="14" t="s">
        <v>62</v>
      </c>
      <c r="B107" s="15" t="s">
        <v>63</v>
      </c>
      <c r="C107" s="15" t="s">
        <v>93</v>
      </c>
      <c r="D107" s="15" t="s">
        <v>94</v>
      </c>
      <c r="E107" s="15" t="s">
        <v>89</v>
      </c>
      <c r="F107" s="15" t="s">
        <v>67</v>
      </c>
      <c r="G107" s="15" t="s">
        <v>73</v>
      </c>
      <c r="H107" s="15" t="s">
        <v>72</v>
      </c>
      <c r="I107" s="16">
        <v>37755</v>
      </c>
      <c r="J107" s="16">
        <v>31025</v>
      </c>
      <c r="K107" s="16">
        <v>36680</v>
      </c>
      <c r="L107" s="17">
        <v>383.5</v>
      </c>
      <c r="M107" s="17">
        <v>29.2</v>
      </c>
      <c r="N107" s="17">
        <f t="shared" si="3"/>
        <v>354.3</v>
      </c>
      <c r="O107" s="17">
        <v>274.3</v>
      </c>
      <c r="P107" s="17">
        <v>340.5</v>
      </c>
      <c r="Q107" s="17">
        <v>225.3</v>
      </c>
      <c r="R107" s="17">
        <f t="shared" si="4"/>
        <v>129</v>
      </c>
      <c r="S107" s="17">
        <v>176.8</v>
      </c>
      <c r="T107" s="17">
        <f t="shared" si="5"/>
        <v>97.5</v>
      </c>
    </row>
    <row r="108" spans="1:20" x14ac:dyDescent="0.35">
      <c r="A108" s="14" t="s">
        <v>62</v>
      </c>
      <c r="B108" s="15" t="s">
        <v>63</v>
      </c>
      <c r="C108" s="15" t="s">
        <v>93</v>
      </c>
      <c r="D108" s="15" t="s">
        <v>94</v>
      </c>
      <c r="E108" s="15" t="s">
        <v>89</v>
      </c>
      <c r="F108" s="15" t="s">
        <v>67</v>
      </c>
      <c r="G108" s="15" t="s">
        <v>74</v>
      </c>
      <c r="H108" s="15" t="s">
        <v>70</v>
      </c>
      <c r="I108" s="16">
        <v>268802</v>
      </c>
      <c r="J108" s="16">
        <v>241597</v>
      </c>
      <c r="K108" s="16">
        <v>261137</v>
      </c>
      <c r="L108" s="17">
        <v>1599.2</v>
      </c>
      <c r="M108" s="17">
        <v>127.3</v>
      </c>
      <c r="N108" s="17">
        <f t="shared" si="3"/>
        <v>1471.9</v>
      </c>
      <c r="O108" s="17">
        <v>1258.5999999999999</v>
      </c>
      <c r="P108" s="17">
        <v>1413.6</v>
      </c>
      <c r="Q108" s="17">
        <v>831.9</v>
      </c>
      <c r="R108" s="17">
        <f t="shared" si="4"/>
        <v>640.00000000000011</v>
      </c>
      <c r="S108" s="17">
        <v>719.5</v>
      </c>
      <c r="T108" s="17">
        <f t="shared" si="5"/>
        <v>539.09999999999991</v>
      </c>
    </row>
    <row r="109" spans="1:20" x14ac:dyDescent="0.35">
      <c r="A109" s="14" t="s">
        <v>62</v>
      </c>
      <c r="B109" s="15" t="s">
        <v>63</v>
      </c>
      <c r="C109" s="15" t="s">
        <v>93</v>
      </c>
      <c r="D109" s="15" t="s">
        <v>94</v>
      </c>
      <c r="E109" s="15" t="s">
        <v>89</v>
      </c>
      <c r="F109" s="15" t="s">
        <v>67</v>
      </c>
      <c r="G109" s="15" t="s">
        <v>74</v>
      </c>
      <c r="H109" s="15" t="s">
        <v>71</v>
      </c>
      <c r="I109" s="16">
        <v>241962</v>
      </c>
      <c r="J109" s="16">
        <v>219368</v>
      </c>
      <c r="K109" s="16">
        <v>235744</v>
      </c>
      <c r="L109" s="17">
        <v>1837.4</v>
      </c>
      <c r="M109" s="17">
        <v>112.7</v>
      </c>
      <c r="N109" s="17">
        <f t="shared" si="3"/>
        <v>1724.7</v>
      </c>
      <c r="O109" s="17">
        <v>1483.5</v>
      </c>
      <c r="P109" s="17">
        <v>1657.7</v>
      </c>
      <c r="Q109" s="17">
        <v>1077.5999999999999</v>
      </c>
      <c r="R109" s="17">
        <f t="shared" si="4"/>
        <v>647.10000000000014</v>
      </c>
      <c r="S109" s="17">
        <v>945.9</v>
      </c>
      <c r="T109" s="17">
        <f t="shared" si="5"/>
        <v>537.6</v>
      </c>
    </row>
    <row r="110" spans="1:20" x14ac:dyDescent="0.35">
      <c r="A110" s="14" t="s">
        <v>62</v>
      </c>
      <c r="B110" s="15" t="s">
        <v>63</v>
      </c>
      <c r="C110" s="15" t="s">
        <v>93</v>
      </c>
      <c r="D110" s="15" t="s">
        <v>94</v>
      </c>
      <c r="E110" s="15" t="s">
        <v>89</v>
      </c>
      <c r="F110" s="15" t="s">
        <v>67</v>
      </c>
      <c r="G110" s="15" t="s">
        <v>75</v>
      </c>
      <c r="H110" s="15" t="s">
        <v>71</v>
      </c>
      <c r="I110" s="16">
        <v>166730</v>
      </c>
      <c r="J110" s="16">
        <v>152580</v>
      </c>
      <c r="K110" s="16">
        <v>163627</v>
      </c>
      <c r="L110" s="17">
        <v>1213.0999999999999</v>
      </c>
      <c r="M110" s="17">
        <v>79.099999999999994</v>
      </c>
      <c r="N110" s="17">
        <f t="shared" si="3"/>
        <v>1134</v>
      </c>
      <c r="O110" s="17">
        <v>974.7</v>
      </c>
      <c r="P110" s="17">
        <v>1095.3</v>
      </c>
      <c r="Q110" s="17">
        <v>713</v>
      </c>
      <c r="R110" s="17">
        <f t="shared" si="4"/>
        <v>421</v>
      </c>
      <c r="S110" s="17">
        <v>616.9</v>
      </c>
      <c r="T110" s="17">
        <f t="shared" si="5"/>
        <v>357.80000000000007</v>
      </c>
    </row>
    <row r="111" spans="1:20" x14ac:dyDescent="0.35">
      <c r="A111" s="14" t="s">
        <v>62</v>
      </c>
      <c r="B111" s="15" t="s">
        <v>63</v>
      </c>
      <c r="C111" s="15" t="s">
        <v>93</v>
      </c>
      <c r="D111" s="15" t="s">
        <v>94</v>
      </c>
      <c r="E111" s="15" t="s">
        <v>89</v>
      </c>
      <c r="F111" s="15" t="s">
        <v>67</v>
      </c>
      <c r="G111" s="15" t="s">
        <v>76</v>
      </c>
      <c r="H111" s="15" t="s">
        <v>72</v>
      </c>
      <c r="I111" s="16">
        <v>27704</v>
      </c>
      <c r="J111" s="16">
        <v>24431</v>
      </c>
      <c r="K111" s="16">
        <v>27008</v>
      </c>
      <c r="L111" s="17">
        <v>338.1</v>
      </c>
      <c r="M111" s="17">
        <v>20.5</v>
      </c>
      <c r="N111" s="17">
        <f t="shared" si="3"/>
        <v>317.60000000000002</v>
      </c>
      <c r="O111" s="17">
        <v>263</v>
      </c>
      <c r="P111" s="17">
        <v>307.3</v>
      </c>
      <c r="Q111" s="17">
        <v>201.5</v>
      </c>
      <c r="R111" s="17">
        <f t="shared" si="4"/>
        <v>116.10000000000002</v>
      </c>
      <c r="S111" s="17">
        <v>169.5</v>
      </c>
      <c r="T111" s="17">
        <f t="shared" si="5"/>
        <v>93.5</v>
      </c>
    </row>
    <row r="112" spans="1:20" x14ac:dyDescent="0.35">
      <c r="A112" s="14" t="s">
        <v>62</v>
      </c>
      <c r="B112" s="15" t="s">
        <v>63</v>
      </c>
      <c r="C112" s="15" t="s">
        <v>93</v>
      </c>
      <c r="D112" s="15" t="s">
        <v>94</v>
      </c>
      <c r="E112" s="15" t="s">
        <v>89</v>
      </c>
      <c r="F112" s="15" t="s">
        <v>79</v>
      </c>
      <c r="G112" s="15" t="s">
        <v>95</v>
      </c>
      <c r="H112" s="15" t="s">
        <v>71</v>
      </c>
      <c r="I112" s="16">
        <v>185410</v>
      </c>
      <c r="J112" s="16">
        <v>165148</v>
      </c>
      <c r="K112" s="16">
        <v>181287</v>
      </c>
      <c r="L112" s="17">
        <v>843.6</v>
      </c>
      <c r="M112" s="17">
        <v>64.099999999999994</v>
      </c>
      <c r="N112" s="17">
        <f t="shared" si="3"/>
        <v>779.5</v>
      </c>
      <c r="O112" s="17">
        <v>660.7</v>
      </c>
      <c r="P112" s="17">
        <v>751.3</v>
      </c>
      <c r="Q112" s="17">
        <v>477.8</v>
      </c>
      <c r="R112" s="17">
        <f t="shared" si="4"/>
        <v>301.7</v>
      </c>
      <c r="S112" s="17">
        <v>414.8</v>
      </c>
      <c r="T112" s="17">
        <f t="shared" si="5"/>
        <v>245.90000000000003</v>
      </c>
    </row>
    <row r="113" spans="1:20" x14ac:dyDescent="0.35">
      <c r="A113" s="14" t="s">
        <v>62</v>
      </c>
      <c r="B113" s="15" t="s">
        <v>63</v>
      </c>
      <c r="C113" s="15" t="s">
        <v>93</v>
      </c>
      <c r="D113" s="15" t="s">
        <v>94</v>
      </c>
      <c r="E113" s="15" t="s">
        <v>89</v>
      </c>
      <c r="F113" s="15" t="s">
        <v>81</v>
      </c>
      <c r="G113" s="15" t="s">
        <v>82</v>
      </c>
      <c r="H113" s="15" t="s">
        <v>71</v>
      </c>
      <c r="I113" s="16">
        <v>55651</v>
      </c>
      <c r="J113" s="16">
        <v>48663</v>
      </c>
      <c r="K113" s="16">
        <v>54178</v>
      </c>
      <c r="L113" s="17">
        <v>534</v>
      </c>
      <c r="M113" s="17">
        <v>32.5</v>
      </c>
      <c r="N113" s="17">
        <f t="shared" si="3"/>
        <v>501.5</v>
      </c>
      <c r="O113" s="17">
        <v>416.4</v>
      </c>
      <c r="P113" s="17">
        <v>481.5</v>
      </c>
      <c r="Q113" s="17">
        <v>314.60000000000002</v>
      </c>
      <c r="R113" s="17">
        <f t="shared" si="4"/>
        <v>186.89999999999998</v>
      </c>
      <c r="S113" s="17">
        <v>266.7</v>
      </c>
      <c r="T113" s="17">
        <f t="shared" si="5"/>
        <v>149.69999999999999</v>
      </c>
    </row>
    <row r="114" spans="1:20" x14ac:dyDescent="0.35">
      <c r="A114" s="14" t="s">
        <v>62</v>
      </c>
      <c r="B114" s="15" t="s">
        <v>63</v>
      </c>
      <c r="C114" s="15" t="s">
        <v>93</v>
      </c>
      <c r="D114" s="15" t="s">
        <v>94</v>
      </c>
      <c r="E114" s="15" t="s">
        <v>89</v>
      </c>
      <c r="F114" s="15" t="s">
        <v>83</v>
      </c>
      <c r="G114" s="15" t="s">
        <v>84</v>
      </c>
      <c r="H114" s="15" t="s">
        <v>72</v>
      </c>
      <c r="I114" s="16">
        <v>21945</v>
      </c>
      <c r="J114" s="16">
        <v>17546</v>
      </c>
      <c r="K114" s="16">
        <v>21547</v>
      </c>
      <c r="L114" s="17">
        <v>695.1</v>
      </c>
      <c r="M114" s="17">
        <v>46.2</v>
      </c>
      <c r="N114" s="17">
        <f t="shared" si="3"/>
        <v>648.9</v>
      </c>
      <c r="O114" s="17">
        <v>492.6</v>
      </c>
      <c r="P114" s="17">
        <v>631</v>
      </c>
      <c r="Q114" s="17">
        <v>379.2</v>
      </c>
      <c r="R114" s="17">
        <f t="shared" si="4"/>
        <v>269.7</v>
      </c>
      <c r="S114" s="17">
        <v>294.60000000000002</v>
      </c>
      <c r="T114" s="17">
        <f t="shared" si="5"/>
        <v>198</v>
      </c>
    </row>
    <row r="115" spans="1:20" x14ac:dyDescent="0.35">
      <c r="A115" s="14" t="s">
        <v>62</v>
      </c>
      <c r="B115" s="15" t="s">
        <v>63</v>
      </c>
      <c r="C115" s="15" t="s">
        <v>93</v>
      </c>
      <c r="D115" s="15" t="s">
        <v>94</v>
      </c>
      <c r="E115" s="15" t="s">
        <v>90</v>
      </c>
      <c r="F115" s="15" t="s">
        <v>67</v>
      </c>
      <c r="G115" s="15" t="s">
        <v>68</v>
      </c>
      <c r="H115" s="15" t="s">
        <v>69</v>
      </c>
      <c r="I115" s="16">
        <v>303136</v>
      </c>
      <c r="J115" s="16">
        <v>282366</v>
      </c>
      <c r="K115" s="16">
        <v>297204</v>
      </c>
      <c r="L115" s="17">
        <v>1447.5</v>
      </c>
      <c r="M115" s="17">
        <v>167.2</v>
      </c>
      <c r="N115" s="17">
        <f t="shared" si="3"/>
        <v>1280.3</v>
      </c>
      <c r="O115" s="17">
        <v>1137.2</v>
      </c>
      <c r="P115" s="17">
        <v>1226.9000000000001</v>
      </c>
      <c r="Q115" s="17">
        <v>705.7</v>
      </c>
      <c r="R115" s="17">
        <f t="shared" si="4"/>
        <v>574.59999999999991</v>
      </c>
      <c r="S115" s="17">
        <v>635</v>
      </c>
      <c r="T115" s="17">
        <f t="shared" si="5"/>
        <v>502.20000000000005</v>
      </c>
    </row>
    <row r="116" spans="1:20" x14ac:dyDescent="0.35">
      <c r="A116" s="14" t="s">
        <v>62</v>
      </c>
      <c r="B116" s="15" t="s">
        <v>63</v>
      </c>
      <c r="C116" s="15" t="s">
        <v>93</v>
      </c>
      <c r="D116" s="15" t="s">
        <v>94</v>
      </c>
      <c r="E116" s="15" t="s">
        <v>90</v>
      </c>
      <c r="F116" s="15" t="s">
        <v>67</v>
      </c>
      <c r="G116" s="15" t="s">
        <v>68</v>
      </c>
      <c r="H116" s="15" t="s">
        <v>70</v>
      </c>
      <c r="I116" s="16">
        <v>223178</v>
      </c>
      <c r="J116" s="16">
        <v>203119</v>
      </c>
      <c r="K116" s="16">
        <v>218877</v>
      </c>
      <c r="L116" s="17">
        <v>1218.4000000000001</v>
      </c>
      <c r="M116" s="17">
        <v>139.9</v>
      </c>
      <c r="N116" s="17">
        <f t="shared" si="3"/>
        <v>1078.5</v>
      </c>
      <c r="O116" s="17">
        <v>928.2</v>
      </c>
      <c r="P116" s="17">
        <v>1035.5999999999999</v>
      </c>
      <c r="Q116" s="17">
        <v>619.9</v>
      </c>
      <c r="R116" s="17">
        <f t="shared" si="4"/>
        <v>458.6</v>
      </c>
      <c r="S116" s="17">
        <v>544.70000000000005</v>
      </c>
      <c r="T116" s="17">
        <f t="shared" si="5"/>
        <v>383.5</v>
      </c>
    </row>
    <row r="117" spans="1:20" x14ac:dyDescent="0.35">
      <c r="A117" s="14" t="s">
        <v>62</v>
      </c>
      <c r="B117" s="15" t="s">
        <v>63</v>
      </c>
      <c r="C117" s="15" t="s">
        <v>93</v>
      </c>
      <c r="D117" s="15" t="s">
        <v>94</v>
      </c>
      <c r="E117" s="15" t="s">
        <v>90</v>
      </c>
      <c r="F117" s="15" t="s">
        <v>67</v>
      </c>
      <c r="G117" s="15" t="s">
        <v>68</v>
      </c>
      <c r="H117" s="15" t="s">
        <v>71</v>
      </c>
      <c r="I117" s="16">
        <v>333507</v>
      </c>
      <c r="J117" s="16">
        <v>309689</v>
      </c>
      <c r="K117" s="16">
        <v>326572</v>
      </c>
      <c r="L117" s="17">
        <v>2402.8000000000002</v>
      </c>
      <c r="M117" s="17">
        <v>256.2</v>
      </c>
      <c r="N117" s="17">
        <f t="shared" si="3"/>
        <v>2146.6000000000004</v>
      </c>
      <c r="O117" s="17">
        <v>1905</v>
      </c>
      <c r="P117" s="17">
        <v>2069</v>
      </c>
      <c r="Q117" s="17">
        <v>1302.7</v>
      </c>
      <c r="R117" s="17">
        <f t="shared" si="4"/>
        <v>843.90000000000032</v>
      </c>
      <c r="S117" s="17">
        <v>1167.5999999999999</v>
      </c>
      <c r="T117" s="17">
        <f t="shared" si="5"/>
        <v>737.40000000000009</v>
      </c>
    </row>
    <row r="118" spans="1:20" x14ac:dyDescent="0.35">
      <c r="A118" s="14" t="s">
        <v>62</v>
      </c>
      <c r="B118" s="15" t="s">
        <v>63</v>
      </c>
      <c r="C118" s="15" t="s">
        <v>93</v>
      </c>
      <c r="D118" s="15" t="s">
        <v>94</v>
      </c>
      <c r="E118" s="15" t="s">
        <v>90</v>
      </c>
      <c r="F118" s="15" t="s">
        <v>67</v>
      </c>
      <c r="G118" s="15" t="s">
        <v>68</v>
      </c>
      <c r="H118" s="15" t="s">
        <v>72</v>
      </c>
      <c r="I118" s="16">
        <v>83541</v>
      </c>
      <c r="J118" s="16">
        <v>76061</v>
      </c>
      <c r="K118" s="16">
        <v>80936</v>
      </c>
      <c r="L118" s="17">
        <v>789</v>
      </c>
      <c r="M118" s="17">
        <v>93.1</v>
      </c>
      <c r="N118" s="17">
        <f t="shared" si="3"/>
        <v>695.9</v>
      </c>
      <c r="O118" s="17">
        <v>603.79999999999995</v>
      </c>
      <c r="P118" s="17">
        <v>676.9</v>
      </c>
      <c r="Q118" s="17">
        <v>435.7</v>
      </c>
      <c r="R118" s="17">
        <f t="shared" si="4"/>
        <v>260.2</v>
      </c>
      <c r="S118" s="17">
        <v>384.4</v>
      </c>
      <c r="T118" s="17">
        <f t="shared" si="5"/>
        <v>219.39999999999998</v>
      </c>
    </row>
    <row r="119" spans="1:20" x14ac:dyDescent="0.35">
      <c r="A119" s="14" t="s">
        <v>62</v>
      </c>
      <c r="B119" s="15" t="s">
        <v>63</v>
      </c>
      <c r="C119" s="15" t="s">
        <v>93</v>
      </c>
      <c r="D119" s="15" t="s">
        <v>94</v>
      </c>
      <c r="E119" s="15" t="s">
        <v>90</v>
      </c>
      <c r="F119" s="15" t="s">
        <v>67</v>
      </c>
      <c r="G119" s="15" t="s">
        <v>73</v>
      </c>
      <c r="H119" s="15" t="s">
        <v>71</v>
      </c>
      <c r="I119" s="16">
        <v>87766</v>
      </c>
      <c r="J119" s="16">
        <v>73866</v>
      </c>
      <c r="K119" s="16">
        <v>85298</v>
      </c>
      <c r="L119" s="17">
        <v>622.5</v>
      </c>
      <c r="M119" s="17">
        <v>70.599999999999994</v>
      </c>
      <c r="N119" s="17">
        <f t="shared" si="3"/>
        <v>551.9</v>
      </c>
      <c r="O119" s="17">
        <v>438.8</v>
      </c>
      <c r="P119" s="17">
        <v>535.4</v>
      </c>
      <c r="Q119" s="17">
        <v>343.4</v>
      </c>
      <c r="R119" s="17">
        <f t="shared" si="4"/>
        <v>208.5</v>
      </c>
      <c r="S119" s="17">
        <v>275.7</v>
      </c>
      <c r="T119" s="17">
        <f t="shared" si="5"/>
        <v>163.10000000000002</v>
      </c>
    </row>
    <row r="120" spans="1:20" x14ac:dyDescent="0.35">
      <c r="A120" s="14" t="s">
        <v>62</v>
      </c>
      <c r="B120" s="15" t="s">
        <v>63</v>
      </c>
      <c r="C120" s="15" t="s">
        <v>93</v>
      </c>
      <c r="D120" s="15" t="s">
        <v>94</v>
      </c>
      <c r="E120" s="15" t="s">
        <v>90</v>
      </c>
      <c r="F120" s="15" t="s">
        <v>67</v>
      </c>
      <c r="G120" s="15" t="s">
        <v>73</v>
      </c>
      <c r="H120" s="15" t="s">
        <v>72</v>
      </c>
      <c r="I120" s="16">
        <v>27896</v>
      </c>
      <c r="J120" s="16">
        <v>23302</v>
      </c>
      <c r="K120" s="16">
        <v>27130</v>
      </c>
      <c r="L120" s="17">
        <v>258.3</v>
      </c>
      <c r="M120" s="17">
        <v>26.1</v>
      </c>
      <c r="N120" s="17">
        <f t="shared" si="3"/>
        <v>232.20000000000002</v>
      </c>
      <c r="O120" s="17">
        <v>182.7</v>
      </c>
      <c r="P120" s="17">
        <v>223.7</v>
      </c>
      <c r="Q120" s="17">
        <v>149.4</v>
      </c>
      <c r="R120" s="17">
        <f t="shared" si="4"/>
        <v>82.800000000000011</v>
      </c>
      <c r="S120" s="17">
        <v>120</v>
      </c>
      <c r="T120" s="17">
        <f t="shared" si="5"/>
        <v>62.699999999999989</v>
      </c>
    </row>
    <row r="121" spans="1:20" x14ac:dyDescent="0.35">
      <c r="A121" s="14" t="s">
        <v>62</v>
      </c>
      <c r="B121" s="15" t="s">
        <v>63</v>
      </c>
      <c r="C121" s="15" t="s">
        <v>93</v>
      </c>
      <c r="D121" s="15" t="s">
        <v>94</v>
      </c>
      <c r="E121" s="15" t="s">
        <v>90</v>
      </c>
      <c r="F121" s="15" t="s">
        <v>67</v>
      </c>
      <c r="G121" s="15" t="s">
        <v>74</v>
      </c>
      <c r="H121" s="15" t="s">
        <v>70</v>
      </c>
      <c r="I121" s="16">
        <v>101066</v>
      </c>
      <c r="J121" s="16">
        <v>92194</v>
      </c>
      <c r="K121" s="16">
        <v>98525</v>
      </c>
      <c r="L121" s="17">
        <v>548</v>
      </c>
      <c r="M121" s="17">
        <v>64</v>
      </c>
      <c r="N121" s="17">
        <f t="shared" si="3"/>
        <v>484</v>
      </c>
      <c r="O121" s="17">
        <v>420.2</v>
      </c>
      <c r="P121" s="17">
        <v>470.1</v>
      </c>
      <c r="Q121" s="17">
        <v>278.10000000000002</v>
      </c>
      <c r="R121" s="17">
        <f t="shared" si="4"/>
        <v>205.89999999999998</v>
      </c>
      <c r="S121" s="17">
        <v>245.6</v>
      </c>
      <c r="T121" s="17">
        <f t="shared" si="5"/>
        <v>174.6</v>
      </c>
    </row>
    <row r="122" spans="1:20" x14ac:dyDescent="0.35">
      <c r="A122" s="14" t="s">
        <v>62</v>
      </c>
      <c r="B122" s="15" t="s">
        <v>63</v>
      </c>
      <c r="C122" s="15" t="s">
        <v>93</v>
      </c>
      <c r="D122" s="15" t="s">
        <v>94</v>
      </c>
      <c r="E122" s="15" t="s">
        <v>90</v>
      </c>
      <c r="F122" s="15" t="s">
        <v>67</v>
      </c>
      <c r="G122" s="15" t="s">
        <v>74</v>
      </c>
      <c r="H122" s="15" t="s">
        <v>71</v>
      </c>
      <c r="I122" s="16">
        <v>121169</v>
      </c>
      <c r="J122" s="16">
        <v>109896</v>
      </c>
      <c r="K122" s="16">
        <v>117536</v>
      </c>
      <c r="L122" s="17">
        <v>846.4</v>
      </c>
      <c r="M122" s="17">
        <v>92.9</v>
      </c>
      <c r="N122" s="17">
        <f t="shared" si="3"/>
        <v>753.5</v>
      </c>
      <c r="O122" s="17">
        <v>643</v>
      </c>
      <c r="P122" s="17">
        <v>725.8</v>
      </c>
      <c r="Q122" s="17">
        <v>463.8</v>
      </c>
      <c r="R122" s="17">
        <f t="shared" si="4"/>
        <v>289.7</v>
      </c>
      <c r="S122" s="17">
        <v>401.4</v>
      </c>
      <c r="T122" s="17">
        <f t="shared" si="5"/>
        <v>241.60000000000002</v>
      </c>
    </row>
    <row r="123" spans="1:20" x14ac:dyDescent="0.35">
      <c r="A123" s="14" t="s">
        <v>62</v>
      </c>
      <c r="B123" s="15" t="s">
        <v>63</v>
      </c>
      <c r="C123" s="15" t="s">
        <v>93</v>
      </c>
      <c r="D123" s="15" t="s">
        <v>94</v>
      </c>
      <c r="E123" s="15" t="s">
        <v>90</v>
      </c>
      <c r="F123" s="15" t="s">
        <v>67</v>
      </c>
      <c r="G123" s="15" t="s">
        <v>75</v>
      </c>
      <c r="H123" s="15" t="s">
        <v>71</v>
      </c>
      <c r="I123" s="16">
        <v>93864</v>
      </c>
      <c r="J123" s="16">
        <v>85191</v>
      </c>
      <c r="K123" s="16">
        <v>91099</v>
      </c>
      <c r="L123" s="17">
        <v>663.8</v>
      </c>
      <c r="M123" s="17">
        <v>77.599999999999994</v>
      </c>
      <c r="N123" s="17">
        <f t="shared" si="3"/>
        <v>586.19999999999993</v>
      </c>
      <c r="O123" s="17">
        <v>501.1</v>
      </c>
      <c r="P123" s="17">
        <v>566.29999999999995</v>
      </c>
      <c r="Q123" s="17">
        <v>354.8</v>
      </c>
      <c r="R123" s="17">
        <f t="shared" si="4"/>
        <v>231.39999999999992</v>
      </c>
      <c r="S123" s="17">
        <v>307.89999999999998</v>
      </c>
      <c r="T123" s="17">
        <f t="shared" si="5"/>
        <v>193.20000000000005</v>
      </c>
    </row>
    <row r="124" spans="1:20" x14ac:dyDescent="0.35">
      <c r="A124" s="14" t="s">
        <v>62</v>
      </c>
      <c r="B124" s="15" t="s">
        <v>63</v>
      </c>
      <c r="C124" s="15" t="s">
        <v>93</v>
      </c>
      <c r="D124" s="15" t="s">
        <v>94</v>
      </c>
      <c r="E124" s="15" t="s">
        <v>90</v>
      </c>
      <c r="F124" s="15" t="s">
        <v>67</v>
      </c>
      <c r="G124" s="15" t="s">
        <v>76</v>
      </c>
      <c r="H124" s="15" t="s">
        <v>72</v>
      </c>
      <c r="I124" s="16">
        <v>20113</v>
      </c>
      <c r="J124" s="16">
        <v>17850</v>
      </c>
      <c r="K124" s="16">
        <v>19701</v>
      </c>
      <c r="L124" s="17">
        <v>230</v>
      </c>
      <c r="M124" s="17">
        <v>23.7</v>
      </c>
      <c r="N124" s="17">
        <f t="shared" si="3"/>
        <v>206.3</v>
      </c>
      <c r="O124" s="17">
        <v>173</v>
      </c>
      <c r="P124" s="17">
        <v>198.1</v>
      </c>
      <c r="Q124" s="17">
        <v>128.19999999999999</v>
      </c>
      <c r="R124" s="17">
        <f t="shared" si="4"/>
        <v>78.100000000000023</v>
      </c>
      <c r="S124" s="17">
        <v>109.5</v>
      </c>
      <c r="T124" s="17">
        <f t="shared" si="5"/>
        <v>63.5</v>
      </c>
    </row>
    <row r="125" spans="1:20" x14ac:dyDescent="0.35">
      <c r="A125" s="14" t="s">
        <v>62</v>
      </c>
      <c r="B125" s="15" t="s">
        <v>63</v>
      </c>
      <c r="C125" s="15" t="s">
        <v>93</v>
      </c>
      <c r="D125" s="15" t="s">
        <v>94</v>
      </c>
      <c r="E125" s="15" t="s">
        <v>90</v>
      </c>
      <c r="F125" s="15" t="s">
        <v>79</v>
      </c>
      <c r="G125" s="15" t="s">
        <v>95</v>
      </c>
      <c r="H125" s="15" t="s">
        <v>71</v>
      </c>
      <c r="I125" s="16">
        <v>103885</v>
      </c>
      <c r="J125" s="16">
        <v>94370</v>
      </c>
      <c r="K125" s="16">
        <v>101924</v>
      </c>
      <c r="L125" s="17">
        <v>450.7</v>
      </c>
      <c r="M125" s="17">
        <v>50.4</v>
      </c>
      <c r="N125" s="17">
        <f t="shared" si="3"/>
        <v>400.3</v>
      </c>
      <c r="O125" s="17">
        <v>344.9</v>
      </c>
      <c r="P125" s="17">
        <v>385.2</v>
      </c>
      <c r="Q125" s="17">
        <v>243.4</v>
      </c>
      <c r="R125" s="17">
        <f t="shared" si="4"/>
        <v>156.9</v>
      </c>
      <c r="S125" s="17">
        <v>213.1</v>
      </c>
      <c r="T125" s="17">
        <f t="shared" si="5"/>
        <v>131.79999999999998</v>
      </c>
    </row>
    <row r="126" spans="1:20" x14ac:dyDescent="0.35">
      <c r="A126" s="14" t="s">
        <v>62</v>
      </c>
      <c r="B126" s="15" t="s">
        <v>63</v>
      </c>
      <c r="C126" s="15" t="s">
        <v>93</v>
      </c>
      <c r="D126" s="15" t="s">
        <v>94</v>
      </c>
      <c r="E126" s="15" t="s">
        <v>90</v>
      </c>
      <c r="F126" s="15" t="s">
        <v>81</v>
      </c>
      <c r="G126" s="15" t="s">
        <v>82</v>
      </c>
      <c r="H126" s="15" t="s">
        <v>71</v>
      </c>
      <c r="I126" s="16">
        <v>31737</v>
      </c>
      <c r="J126" s="16">
        <v>28014</v>
      </c>
      <c r="K126" s="16">
        <v>30758</v>
      </c>
      <c r="L126" s="17">
        <v>284.60000000000002</v>
      </c>
      <c r="M126" s="17">
        <v>29.2</v>
      </c>
      <c r="N126" s="17">
        <f t="shared" si="3"/>
        <v>255.40000000000003</v>
      </c>
      <c r="O126" s="17">
        <v>214.5</v>
      </c>
      <c r="P126" s="17">
        <v>249.2</v>
      </c>
      <c r="Q126" s="17">
        <v>159</v>
      </c>
      <c r="R126" s="17">
        <f t="shared" si="4"/>
        <v>96.400000000000034</v>
      </c>
      <c r="S126" s="17">
        <v>135.6</v>
      </c>
      <c r="T126" s="17">
        <f t="shared" si="5"/>
        <v>78.900000000000006</v>
      </c>
    </row>
    <row r="127" spans="1:20" x14ac:dyDescent="0.35">
      <c r="A127" s="14" t="s">
        <v>62</v>
      </c>
      <c r="B127" s="15" t="s">
        <v>63</v>
      </c>
      <c r="C127" s="15" t="s">
        <v>93</v>
      </c>
      <c r="D127" s="15" t="s">
        <v>94</v>
      </c>
      <c r="E127" s="15" t="s">
        <v>90</v>
      </c>
      <c r="F127" s="15" t="s">
        <v>83</v>
      </c>
      <c r="G127" s="15" t="s">
        <v>84</v>
      </c>
      <c r="H127" s="15" t="s">
        <v>72</v>
      </c>
      <c r="I127" s="16">
        <v>17091</v>
      </c>
      <c r="J127" s="16">
        <v>13705</v>
      </c>
      <c r="K127" s="16">
        <v>16779</v>
      </c>
      <c r="L127" s="17">
        <v>484.1</v>
      </c>
      <c r="M127" s="17">
        <v>51</v>
      </c>
      <c r="N127" s="17">
        <f t="shared" si="3"/>
        <v>433.1</v>
      </c>
      <c r="O127" s="17">
        <v>332.2</v>
      </c>
      <c r="P127" s="17">
        <v>422.3</v>
      </c>
      <c r="Q127" s="17">
        <v>252.7</v>
      </c>
      <c r="R127" s="17">
        <f t="shared" si="4"/>
        <v>180.40000000000003</v>
      </c>
      <c r="S127" s="17">
        <v>196.4</v>
      </c>
      <c r="T127" s="17">
        <f t="shared" si="5"/>
        <v>135.79999999999998</v>
      </c>
    </row>
    <row r="128" spans="1:20" x14ac:dyDescent="0.35">
      <c r="A128" s="14" t="s">
        <v>62</v>
      </c>
      <c r="B128" s="15" t="s">
        <v>63</v>
      </c>
      <c r="C128" s="15" t="s">
        <v>93</v>
      </c>
      <c r="D128" s="15" t="s">
        <v>94</v>
      </c>
      <c r="E128" s="15" t="s">
        <v>91</v>
      </c>
      <c r="F128" s="15" t="s">
        <v>67</v>
      </c>
      <c r="G128" s="15" t="s">
        <v>68</v>
      </c>
      <c r="H128" s="15" t="s">
        <v>69</v>
      </c>
      <c r="I128" s="16">
        <v>184601</v>
      </c>
      <c r="J128" s="16">
        <v>167639</v>
      </c>
      <c r="K128" s="16">
        <v>179740</v>
      </c>
      <c r="L128" s="17">
        <v>1055.4000000000001</v>
      </c>
      <c r="M128" s="17">
        <v>49.8</v>
      </c>
      <c r="N128" s="17">
        <f t="shared" si="3"/>
        <v>1005.6000000000001</v>
      </c>
      <c r="O128" s="17">
        <v>869.7</v>
      </c>
      <c r="P128" s="17">
        <v>973.7</v>
      </c>
      <c r="Q128" s="17">
        <v>542</v>
      </c>
      <c r="R128" s="17">
        <f t="shared" si="4"/>
        <v>463.60000000000014</v>
      </c>
      <c r="S128" s="17">
        <v>479.7</v>
      </c>
      <c r="T128" s="17">
        <f t="shared" si="5"/>
        <v>390.00000000000006</v>
      </c>
    </row>
    <row r="129" spans="1:20" x14ac:dyDescent="0.35">
      <c r="A129" s="14" t="s">
        <v>62</v>
      </c>
      <c r="B129" s="15" t="s">
        <v>63</v>
      </c>
      <c r="C129" s="15" t="s">
        <v>93</v>
      </c>
      <c r="D129" s="15" t="s">
        <v>94</v>
      </c>
      <c r="E129" s="15" t="s">
        <v>91</v>
      </c>
      <c r="F129" s="15" t="s">
        <v>67</v>
      </c>
      <c r="G129" s="15" t="s">
        <v>68</v>
      </c>
      <c r="H129" s="15" t="s">
        <v>70</v>
      </c>
      <c r="I129" s="16">
        <v>56902</v>
      </c>
      <c r="J129" s="16">
        <v>50090</v>
      </c>
      <c r="K129" s="16">
        <v>55880</v>
      </c>
      <c r="L129" s="17">
        <v>378.3</v>
      </c>
      <c r="M129" s="17">
        <v>22</v>
      </c>
      <c r="N129" s="17">
        <f t="shared" si="3"/>
        <v>356.3</v>
      </c>
      <c r="O129" s="17">
        <v>298.39999999999998</v>
      </c>
      <c r="P129" s="17">
        <v>346.8</v>
      </c>
      <c r="Q129" s="17">
        <v>207.8</v>
      </c>
      <c r="R129" s="17">
        <f t="shared" si="4"/>
        <v>148.5</v>
      </c>
      <c r="S129" s="17">
        <v>176.8</v>
      </c>
      <c r="T129" s="17">
        <f t="shared" si="5"/>
        <v>121.59999999999997</v>
      </c>
    </row>
    <row r="130" spans="1:20" x14ac:dyDescent="0.35">
      <c r="A130" s="14" t="s">
        <v>62</v>
      </c>
      <c r="B130" s="15" t="s">
        <v>63</v>
      </c>
      <c r="C130" s="15" t="s">
        <v>93</v>
      </c>
      <c r="D130" s="15" t="s">
        <v>94</v>
      </c>
      <c r="E130" s="15" t="s">
        <v>91</v>
      </c>
      <c r="F130" s="15" t="s">
        <v>67</v>
      </c>
      <c r="G130" s="15" t="s">
        <v>68</v>
      </c>
      <c r="H130" s="15" t="s">
        <v>71</v>
      </c>
      <c r="I130" s="16">
        <v>112579</v>
      </c>
      <c r="J130" s="16">
        <v>99593</v>
      </c>
      <c r="K130" s="16">
        <v>109699</v>
      </c>
      <c r="L130" s="17">
        <v>915.3</v>
      </c>
      <c r="M130" s="17">
        <v>44.9</v>
      </c>
      <c r="N130" s="17">
        <f t="shared" si="3"/>
        <v>870.4</v>
      </c>
      <c r="O130" s="17">
        <v>730.1</v>
      </c>
      <c r="P130" s="17">
        <v>839.8</v>
      </c>
      <c r="Q130" s="17">
        <v>538.6</v>
      </c>
      <c r="R130" s="17">
        <f t="shared" si="4"/>
        <v>331.79999999999995</v>
      </c>
      <c r="S130" s="17">
        <v>457.4</v>
      </c>
      <c r="T130" s="17">
        <f t="shared" si="5"/>
        <v>272.70000000000005</v>
      </c>
    </row>
    <row r="131" spans="1:20" x14ac:dyDescent="0.35">
      <c r="A131" s="14" t="s">
        <v>62</v>
      </c>
      <c r="B131" s="15" t="s">
        <v>63</v>
      </c>
      <c r="C131" s="15" t="s">
        <v>93</v>
      </c>
      <c r="D131" s="15" t="s">
        <v>94</v>
      </c>
      <c r="E131" s="15" t="s">
        <v>91</v>
      </c>
      <c r="F131" s="15" t="s">
        <v>67</v>
      </c>
      <c r="G131" s="15" t="s">
        <v>68</v>
      </c>
      <c r="H131" s="15" t="s">
        <v>72</v>
      </c>
      <c r="I131" s="16">
        <v>54838</v>
      </c>
      <c r="J131" s="16">
        <v>47694</v>
      </c>
      <c r="K131" s="16">
        <v>53782</v>
      </c>
      <c r="L131" s="17">
        <v>624.20000000000005</v>
      </c>
      <c r="M131" s="17">
        <v>27.9</v>
      </c>
      <c r="N131" s="17">
        <f t="shared" si="3"/>
        <v>596.30000000000007</v>
      </c>
      <c r="O131" s="17">
        <v>489.4</v>
      </c>
      <c r="P131" s="17">
        <v>579.70000000000005</v>
      </c>
      <c r="Q131" s="17">
        <v>374</v>
      </c>
      <c r="R131" s="17">
        <f t="shared" si="4"/>
        <v>222.30000000000007</v>
      </c>
      <c r="S131" s="17">
        <v>313.89999999999998</v>
      </c>
      <c r="T131" s="17">
        <f t="shared" si="5"/>
        <v>175.5</v>
      </c>
    </row>
    <row r="132" spans="1:20" x14ac:dyDescent="0.35">
      <c r="A132" s="14" t="s">
        <v>62</v>
      </c>
      <c r="B132" s="15" t="s">
        <v>63</v>
      </c>
      <c r="C132" s="15" t="s">
        <v>93</v>
      </c>
      <c r="D132" s="15" t="s">
        <v>94</v>
      </c>
      <c r="E132" s="15" t="s">
        <v>91</v>
      </c>
      <c r="F132" s="15" t="s">
        <v>67</v>
      </c>
      <c r="G132" s="15" t="s">
        <v>73</v>
      </c>
      <c r="H132" s="15" t="s">
        <v>71</v>
      </c>
      <c r="I132" s="16">
        <v>24161</v>
      </c>
      <c r="J132" s="16">
        <v>19890</v>
      </c>
      <c r="K132" s="16">
        <v>23602</v>
      </c>
      <c r="L132" s="17">
        <v>195.4</v>
      </c>
      <c r="M132" s="17">
        <v>11.4</v>
      </c>
      <c r="N132" s="17">
        <f t="shared" ref="N132:N195" si="6">L132-M132</f>
        <v>184</v>
      </c>
      <c r="O132" s="17">
        <v>142.69999999999999</v>
      </c>
      <c r="P132" s="17">
        <v>176.3</v>
      </c>
      <c r="Q132" s="17">
        <v>116.8</v>
      </c>
      <c r="R132" s="17">
        <f t="shared" ref="R132:R195" si="7">N132-Q132</f>
        <v>67.2</v>
      </c>
      <c r="S132" s="17">
        <v>91.8</v>
      </c>
      <c r="T132" s="17">
        <f t="shared" ref="T132:T195" si="8">O132-S132</f>
        <v>50.899999999999991</v>
      </c>
    </row>
    <row r="133" spans="1:20" x14ac:dyDescent="0.35">
      <c r="A133" s="14" t="s">
        <v>62</v>
      </c>
      <c r="B133" s="15" t="s">
        <v>63</v>
      </c>
      <c r="C133" s="15" t="s">
        <v>93</v>
      </c>
      <c r="D133" s="15" t="s">
        <v>94</v>
      </c>
      <c r="E133" s="15" t="s">
        <v>91</v>
      </c>
      <c r="F133" s="15" t="s">
        <v>67</v>
      </c>
      <c r="G133" s="15" t="s">
        <v>73</v>
      </c>
      <c r="H133" s="15" t="s">
        <v>72</v>
      </c>
      <c r="I133" s="16">
        <v>16733</v>
      </c>
      <c r="J133" s="16">
        <v>13449</v>
      </c>
      <c r="K133" s="16">
        <v>16344</v>
      </c>
      <c r="L133" s="17">
        <v>190.4</v>
      </c>
      <c r="M133" s="17">
        <v>11.1</v>
      </c>
      <c r="N133" s="17">
        <f t="shared" si="6"/>
        <v>179.3</v>
      </c>
      <c r="O133" s="17">
        <v>137</v>
      </c>
      <c r="P133" s="17">
        <v>174.4</v>
      </c>
      <c r="Q133" s="17">
        <v>113.6</v>
      </c>
      <c r="R133" s="17">
        <f t="shared" si="7"/>
        <v>65.700000000000017</v>
      </c>
      <c r="S133" s="17">
        <v>88.5</v>
      </c>
      <c r="T133" s="17">
        <f t="shared" si="8"/>
        <v>48.5</v>
      </c>
    </row>
    <row r="134" spans="1:20" x14ac:dyDescent="0.35">
      <c r="A134" s="14" t="s">
        <v>62</v>
      </c>
      <c r="B134" s="15" t="s">
        <v>63</v>
      </c>
      <c r="C134" s="15" t="s">
        <v>93</v>
      </c>
      <c r="D134" s="15" t="s">
        <v>94</v>
      </c>
      <c r="E134" s="15" t="s">
        <v>91</v>
      </c>
      <c r="F134" s="15" t="s">
        <v>67</v>
      </c>
      <c r="G134" s="15" t="s">
        <v>74</v>
      </c>
      <c r="H134" s="15" t="s">
        <v>70</v>
      </c>
      <c r="I134" s="16">
        <v>25775</v>
      </c>
      <c r="J134" s="16">
        <v>22495</v>
      </c>
      <c r="K134" s="16">
        <v>25129</v>
      </c>
      <c r="L134" s="17">
        <v>163.4</v>
      </c>
      <c r="M134" s="17">
        <v>7.5</v>
      </c>
      <c r="N134" s="17">
        <f t="shared" si="6"/>
        <v>155.9</v>
      </c>
      <c r="O134" s="17">
        <v>129.6</v>
      </c>
      <c r="P134" s="17">
        <v>151.19999999999999</v>
      </c>
      <c r="Q134" s="17">
        <v>89</v>
      </c>
      <c r="R134" s="17">
        <f t="shared" si="7"/>
        <v>66.900000000000006</v>
      </c>
      <c r="S134" s="17">
        <v>75.400000000000006</v>
      </c>
      <c r="T134" s="17">
        <f t="shared" si="8"/>
        <v>54.199999999999989</v>
      </c>
    </row>
    <row r="135" spans="1:20" x14ac:dyDescent="0.35">
      <c r="A135" s="14" t="s">
        <v>62</v>
      </c>
      <c r="B135" s="15" t="s">
        <v>63</v>
      </c>
      <c r="C135" s="15" t="s">
        <v>93</v>
      </c>
      <c r="D135" s="15" t="s">
        <v>94</v>
      </c>
      <c r="E135" s="15" t="s">
        <v>91</v>
      </c>
      <c r="F135" s="15" t="s">
        <v>67</v>
      </c>
      <c r="G135" s="15" t="s">
        <v>74</v>
      </c>
      <c r="H135" s="15" t="s">
        <v>71</v>
      </c>
      <c r="I135" s="16">
        <v>40744</v>
      </c>
      <c r="J135" s="16">
        <v>35786</v>
      </c>
      <c r="K135" s="16">
        <v>39809</v>
      </c>
      <c r="L135" s="17">
        <v>317.39999999999998</v>
      </c>
      <c r="M135" s="17">
        <v>17.399999999999999</v>
      </c>
      <c r="N135" s="17">
        <f t="shared" si="6"/>
        <v>300</v>
      </c>
      <c r="O135" s="17">
        <v>248.4</v>
      </c>
      <c r="P135" s="17">
        <v>290.89999999999998</v>
      </c>
      <c r="Q135" s="17">
        <v>185.8</v>
      </c>
      <c r="R135" s="17">
        <f t="shared" si="7"/>
        <v>114.19999999999999</v>
      </c>
      <c r="S135" s="17">
        <v>157.4</v>
      </c>
      <c r="T135" s="17">
        <f t="shared" si="8"/>
        <v>91</v>
      </c>
    </row>
    <row r="136" spans="1:20" x14ac:dyDescent="0.35">
      <c r="A136" s="14" t="s">
        <v>62</v>
      </c>
      <c r="B136" s="15" t="s">
        <v>63</v>
      </c>
      <c r="C136" s="15" t="s">
        <v>93</v>
      </c>
      <c r="D136" s="15" t="s">
        <v>94</v>
      </c>
      <c r="E136" s="15" t="s">
        <v>91</v>
      </c>
      <c r="F136" s="15" t="s">
        <v>67</v>
      </c>
      <c r="G136" s="15" t="s">
        <v>75</v>
      </c>
      <c r="H136" s="15" t="s">
        <v>71</v>
      </c>
      <c r="I136" s="16">
        <v>34302</v>
      </c>
      <c r="J136" s="16">
        <v>30029</v>
      </c>
      <c r="K136" s="16">
        <v>33251</v>
      </c>
      <c r="L136" s="17">
        <v>272.89999999999998</v>
      </c>
      <c r="M136" s="17">
        <v>15.1</v>
      </c>
      <c r="N136" s="17">
        <f t="shared" si="6"/>
        <v>257.79999999999995</v>
      </c>
      <c r="O136" s="17">
        <v>212</v>
      </c>
      <c r="P136" s="17">
        <v>249.3</v>
      </c>
      <c r="Q136" s="17">
        <v>160.5</v>
      </c>
      <c r="R136" s="17">
        <f t="shared" si="7"/>
        <v>97.299999999999955</v>
      </c>
      <c r="S136" s="17">
        <v>133.30000000000001</v>
      </c>
      <c r="T136" s="17">
        <f t="shared" si="8"/>
        <v>78.699999999999989</v>
      </c>
    </row>
    <row r="137" spans="1:20" x14ac:dyDescent="0.35">
      <c r="A137" s="14" t="s">
        <v>62</v>
      </c>
      <c r="B137" s="15" t="s">
        <v>63</v>
      </c>
      <c r="C137" s="15" t="s">
        <v>93</v>
      </c>
      <c r="D137" s="15" t="s">
        <v>94</v>
      </c>
      <c r="E137" s="15" t="s">
        <v>91</v>
      </c>
      <c r="F137" s="15" t="s">
        <v>67</v>
      </c>
      <c r="G137" s="15" t="s">
        <v>76</v>
      </c>
      <c r="H137" s="15" t="s">
        <v>72</v>
      </c>
      <c r="I137" s="16">
        <v>35759</v>
      </c>
      <c r="J137" s="16">
        <v>30788</v>
      </c>
      <c r="K137" s="16">
        <v>34984</v>
      </c>
      <c r="L137" s="17">
        <v>473.7</v>
      </c>
      <c r="M137" s="17">
        <v>19.3</v>
      </c>
      <c r="N137" s="17">
        <f t="shared" si="6"/>
        <v>454.4</v>
      </c>
      <c r="O137" s="17">
        <v>372.4</v>
      </c>
      <c r="P137" s="17">
        <v>440</v>
      </c>
      <c r="Q137" s="17">
        <v>283.39999999999998</v>
      </c>
      <c r="R137" s="17">
        <f t="shared" si="7"/>
        <v>171</v>
      </c>
      <c r="S137" s="17">
        <v>234.2</v>
      </c>
      <c r="T137" s="17">
        <f t="shared" si="8"/>
        <v>138.19999999999999</v>
      </c>
    </row>
    <row r="138" spans="1:20" x14ac:dyDescent="0.35">
      <c r="A138" s="14" t="s">
        <v>62</v>
      </c>
      <c r="B138" s="15" t="s">
        <v>63</v>
      </c>
      <c r="C138" s="15" t="s">
        <v>93</v>
      </c>
      <c r="D138" s="15" t="s">
        <v>94</v>
      </c>
      <c r="E138" s="15" t="s">
        <v>91</v>
      </c>
      <c r="F138" s="15" t="s">
        <v>79</v>
      </c>
      <c r="G138" s="15" t="s">
        <v>95</v>
      </c>
      <c r="H138" s="15" t="s">
        <v>71</v>
      </c>
      <c r="I138" s="16">
        <v>30234</v>
      </c>
      <c r="J138" s="16">
        <v>26122</v>
      </c>
      <c r="K138" s="16">
        <v>29359</v>
      </c>
      <c r="L138" s="17">
        <v>150.1</v>
      </c>
      <c r="M138" s="17">
        <v>7.1</v>
      </c>
      <c r="N138" s="17">
        <f t="shared" si="6"/>
        <v>143</v>
      </c>
      <c r="O138" s="17">
        <v>117.6</v>
      </c>
      <c r="P138" s="17">
        <v>138.6</v>
      </c>
      <c r="Q138" s="17">
        <v>83.9</v>
      </c>
      <c r="R138" s="17">
        <f t="shared" si="7"/>
        <v>59.099999999999994</v>
      </c>
      <c r="S138" s="17">
        <v>70</v>
      </c>
      <c r="T138" s="17">
        <f t="shared" si="8"/>
        <v>47.599999999999994</v>
      </c>
    </row>
    <row r="139" spans="1:20" x14ac:dyDescent="0.35">
      <c r="A139" s="14" t="s">
        <v>62</v>
      </c>
      <c r="B139" s="15" t="s">
        <v>63</v>
      </c>
      <c r="C139" s="15" t="s">
        <v>93</v>
      </c>
      <c r="D139" s="15" t="s">
        <v>94</v>
      </c>
      <c r="E139" s="15" t="s">
        <v>91</v>
      </c>
      <c r="F139" s="15" t="s">
        <v>81</v>
      </c>
      <c r="G139" s="15" t="s">
        <v>82</v>
      </c>
      <c r="H139" s="15" t="s">
        <v>71</v>
      </c>
      <c r="I139" s="16">
        <v>9592</v>
      </c>
      <c r="J139" s="16">
        <v>8197</v>
      </c>
      <c r="K139" s="16">
        <v>9318</v>
      </c>
      <c r="L139" s="17">
        <v>103.8</v>
      </c>
      <c r="M139" s="17">
        <v>4.9000000000000004</v>
      </c>
      <c r="N139" s="17">
        <f t="shared" si="6"/>
        <v>98.899999999999991</v>
      </c>
      <c r="O139" s="17">
        <v>79.5</v>
      </c>
      <c r="P139" s="17">
        <v>95</v>
      </c>
      <c r="Q139" s="17">
        <v>61.7</v>
      </c>
      <c r="R139" s="17">
        <f t="shared" si="7"/>
        <v>37.199999999999989</v>
      </c>
      <c r="S139" s="17">
        <v>50.1</v>
      </c>
      <c r="T139" s="17">
        <f t="shared" si="8"/>
        <v>29.4</v>
      </c>
    </row>
    <row r="140" spans="1:20" x14ac:dyDescent="0.35">
      <c r="A140" s="14" t="s">
        <v>62</v>
      </c>
      <c r="B140" s="15" t="s">
        <v>63</v>
      </c>
      <c r="C140" s="15" t="s">
        <v>93</v>
      </c>
      <c r="D140" s="15" t="s">
        <v>94</v>
      </c>
      <c r="E140" s="15" t="s">
        <v>91</v>
      </c>
      <c r="F140" s="15" t="s">
        <v>83</v>
      </c>
      <c r="G140" s="15" t="s">
        <v>84</v>
      </c>
      <c r="H140" s="15" t="s">
        <v>72</v>
      </c>
      <c r="I140" s="16">
        <v>10182</v>
      </c>
      <c r="J140" s="16">
        <v>7812</v>
      </c>
      <c r="K140" s="16">
        <v>9858</v>
      </c>
      <c r="L140" s="17">
        <v>341.6</v>
      </c>
      <c r="M140" s="17">
        <v>15.6</v>
      </c>
      <c r="N140" s="17">
        <f t="shared" si="6"/>
        <v>326</v>
      </c>
      <c r="O140" s="17">
        <v>238.3</v>
      </c>
      <c r="P140" s="17">
        <v>313.5</v>
      </c>
      <c r="Q140" s="17">
        <v>187.9</v>
      </c>
      <c r="R140" s="17">
        <f t="shared" si="7"/>
        <v>138.1</v>
      </c>
      <c r="S140" s="17">
        <v>138.80000000000001</v>
      </c>
      <c r="T140" s="17">
        <f t="shared" si="8"/>
        <v>99.5</v>
      </c>
    </row>
    <row r="141" spans="1:20" x14ac:dyDescent="0.35">
      <c r="A141" s="14" t="s">
        <v>62</v>
      </c>
      <c r="B141" s="15" t="s">
        <v>63</v>
      </c>
      <c r="C141" s="15" t="s">
        <v>93</v>
      </c>
      <c r="D141" s="15" t="s">
        <v>94</v>
      </c>
      <c r="E141" s="15" t="s">
        <v>92</v>
      </c>
      <c r="F141" s="15" t="s">
        <v>67</v>
      </c>
      <c r="G141" s="15" t="s">
        <v>68</v>
      </c>
      <c r="H141" s="15" t="s">
        <v>69</v>
      </c>
      <c r="I141" s="16">
        <v>209992</v>
      </c>
      <c r="J141" s="16">
        <v>162530</v>
      </c>
      <c r="K141" s="16">
        <v>205886</v>
      </c>
      <c r="L141" s="17">
        <v>1061.2</v>
      </c>
      <c r="M141" s="17">
        <v>82.2</v>
      </c>
      <c r="N141" s="17">
        <f t="shared" si="6"/>
        <v>979</v>
      </c>
      <c r="O141" s="17">
        <v>724.6</v>
      </c>
      <c r="P141" s="17">
        <v>941.2</v>
      </c>
      <c r="Q141" s="17">
        <v>542.70000000000005</v>
      </c>
      <c r="R141" s="17">
        <f t="shared" si="7"/>
        <v>436.29999999999995</v>
      </c>
      <c r="S141" s="17">
        <v>405.7</v>
      </c>
      <c r="T141" s="17">
        <f t="shared" si="8"/>
        <v>318.90000000000003</v>
      </c>
    </row>
    <row r="142" spans="1:20" x14ac:dyDescent="0.35">
      <c r="A142" s="14" t="s">
        <v>62</v>
      </c>
      <c r="B142" s="15" t="s">
        <v>63</v>
      </c>
      <c r="C142" s="15" t="s">
        <v>93</v>
      </c>
      <c r="D142" s="15" t="s">
        <v>94</v>
      </c>
      <c r="E142" s="15" t="s">
        <v>92</v>
      </c>
      <c r="F142" s="15" t="s">
        <v>67</v>
      </c>
      <c r="G142" s="15" t="s">
        <v>68</v>
      </c>
      <c r="H142" s="15" t="s">
        <v>70</v>
      </c>
      <c r="I142" s="16">
        <v>154236</v>
      </c>
      <c r="J142" s="16">
        <v>116206</v>
      </c>
      <c r="K142" s="16">
        <v>149795</v>
      </c>
      <c r="L142" s="17">
        <v>896</v>
      </c>
      <c r="M142" s="17">
        <v>69</v>
      </c>
      <c r="N142" s="17">
        <f t="shared" si="6"/>
        <v>827</v>
      </c>
      <c r="O142" s="17">
        <v>592.5</v>
      </c>
      <c r="P142" s="17">
        <v>796.8</v>
      </c>
      <c r="Q142" s="17">
        <v>479.8</v>
      </c>
      <c r="R142" s="17">
        <f t="shared" si="7"/>
        <v>347.2</v>
      </c>
      <c r="S142" s="17">
        <v>350.5</v>
      </c>
      <c r="T142" s="17">
        <f t="shared" si="8"/>
        <v>242</v>
      </c>
    </row>
    <row r="143" spans="1:20" x14ac:dyDescent="0.35">
      <c r="A143" s="14" t="s">
        <v>62</v>
      </c>
      <c r="B143" s="15" t="s">
        <v>63</v>
      </c>
      <c r="C143" s="15" t="s">
        <v>93</v>
      </c>
      <c r="D143" s="15" t="s">
        <v>94</v>
      </c>
      <c r="E143" s="15" t="s">
        <v>92</v>
      </c>
      <c r="F143" s="15" t="s">
        <v>67</v>
      </c>
      <c r="G143" s="15" t="s">
        <v>68</v>
      </c>
      <c r="H143" s="15" t="s">
        <v>71</v>
      </c>
      <c r="I143" s="16">
        <v>197920</v>
      </c>
      <c r="J143" s="16">
        <v>150195</v>
      </c>
      <c r="K143" s="16">
        <v>193645</v>
      </c>
      <c r="L143" s="17">
        <v>1463.8</v>
      </c>
      <c r="M143" s="17">
        <v>102.6</v>
      </c>
      <c r="N143" s="17">
        <f t="shared" si="6"/>
        <v>1361.2</v>
      </c>
      <c r="O143" s="17">
        <v>972</v>
      </c>
      <c r="P143" s="17">
        <v>1309.8</v>
      </c>
      <c r="Q143" s="17">
        <v>824.2</v>
      </c>
      <c r="R143" s="17">
        <f t="shared" si="7"/>
        <v>537</v>
      </c>
      <c r="S143" s="17">
        <v>602.9</v>
      </c>
      <c r="T143" s="17">
        <f t="shared" si="8"/>
        <v>369.1</v>
      </c>
    </row>
    <row r="144" spans="1:20" x14ac:dyDescent="0.35">
      <c r="A144" s="14" t="s">
        <v>62</v>
      </c>
      <c r="B144" s="15" t="s">
        <v>63</v>
      </c>
      <c r="C144" s="15" t="s">
        <v>93</v>
      </c>
      <c r="D144" s="15" t="s">
        <v>94</v>
      </c>
      <c r="E144" s="15" t="s">
        <v>92</v>
      </c>
      <c r="F144" s="15" t="s">
        <v>67</v>
      </c>
      <c r="G144" s="15" t="s">
        <v>68</v>
      </c>
      <c r="H144" s="15" t="s">
        <v>72</v>
      </c>
      <c r="I144" s="16">
        <v>46243</v>
      </c>
      <c r="J144" s="16">
        <v>34731</v>
      </c>
      <c r="K144" s="16">
        <v>45448</v>
      </c>
      <c r="L144" s="17">
        <v>479.1</v>
      </c>
      <c r="M144" s="17">
        <v>37.200000000000003</v>
      </c>
      <c r="N144" s="17">
        <f t="shared" si="6"/>
        <v>441.90000000000003</v>
      </c>
      <c r="O144" s="17">
        <v>314.10000000000002</v>
      </c>
      <c r="P144" s="17">
        <v>426.6</v>
      </c>
      <c r="Q144" s="17">
        <v>287.39999999999998</v>
      </c>
      <c r="R144" s="17">
        <f t="shared" si="7"/>
        <v>154.50000000000006</v>
      </c>
      <c r="S144" s="17">
        <v>207.7</v>
      </c>
      <c r="T144" s="17">
        <f t="shared" si="8"/>
        <v>106.40000000000003</v>
      </c>
    </row>
    <row r="145" spans="1:20" x14ac:dyDescent="0.35">
      <c r="A145" s="14" t="s">
        <v>62</v>
      </c>
      <c r="B145" s="15" t="s">
        <v>63</v>
      </c>
      <c r="C145" s="15" t="s">
        <v>93</v>
      </c>
      <c r="D145" s="15" t="s">
        <v>94</v>
      </c>
      <c r="E145" s="15" t="s">
        <v>92</v>
      </c>
      <c r="F145" s="15" t="s">
        <v>67</v>
      </c>
      <c r="G145" s="15" t="s">
        <v>73</v>
      </c>
      <c r="H145" s="15" t="s">
        <v>71</v>
      </c>
      <c r="I145" s="16">
        <v>47223</v>
      </c>
      <c r="J145" s="16">
        <v>33664</v>
      </c>
      <c r="K145" s="16">
        <v>46396</v>
      </c>
      <c r="L145" s="17">
        <v>353.2</v>
      </c>
      <c r="M145" s="17">
        <v>28</v>
      </c>
      <c r="N145" s="17">
        <f t="shared" si="6"/>
        <v>325.2</v>
      </c>
      <c r="O145" s="17">
        <v>219.5</v>
      </c>
      <c r="P145" s="17">
        <v>312.7</v>
      </c>
      <c r="Q145" s="17">
        <v>199.1</v>
      </c>
      <c r="R145" s="17">
        <f t="shared" si="7"/>
        <v>126.1</v>
      </c>
      <c r="S145" s="17">
        <v>136.1</v>
      </c>
      <c r="T145" s="17">
        <f t="shared" si="8"/>
        <v>83.4</v>
      </c>
    </row>
    <row r="146" spans="1:20" x14ac:dyDescent="0.35">
      <c r="A146" s="14" t="s">
        <v>62</v>
      </c>
      <c r="B146" s="15" t="s">
        <v>63</v>
      </c>
      <c r="C146" s="15" t="s">
        <v>93</v>
      </c>
      <c r="D146" s="15" t="s">
        <v>94</v>
      </c>
      <c r="E146" s="15" t="s">
        <v>92</v>
      </c>
      <c r="F146" s="15" t="s">
        <v>67</v>
      </c>
      <c r="G146" s="15" t="s">
        <v>73</v>
      </c>
      <c r="H146" s="15" t="s">
        <v>72</v>
      </c>
      <c r="I146" s="16">
        <v>14818</v>
      </c>
      <c r="J146" s="16">
        <v>10301</v>
      </c>
      <c r="K146" s="16">
        <v>14443</v>
      </c>
      <c r="L146" s="17">
        <v>149.80000000000001</v>
      </c>
      <c r="M146" s="17">
        <v>10.7</v>
      </c>
      <c r="N146" s="17">
        <f t="shared" si="6"/>
        <v>139.10000000000002</v>
      </c>
      <c r="O146" s="17">
        <v>91.1</v>
      </c>
      <c r="P146" s="17">
        <v>134.30000000000001</v>
      </c>
      <c r="Q146" s="17">
        <v>87</v>
      </c>
      <c r="R146" s="17">
        <f t="shared" si="7"/>
        <v>52.100000000000023</v>
      </c>
      <c r="S146" s="17">
        <v>57.9</v>
      </c>
      <c r="T146" s="17">
        <f t="shared" si="8"/>
        <v>33.199999999999996</v>
      </c>
    </row>
    <row r="147" spans="1:20" x14ac:dyDescent="0.35">
      <c r="A147" s="14" t="s">
        <v>62</v>
      </c>
      <c r="B147" s="15" t="s">
        <v>63</v>
      </c>
      <c r="C147" s="15" t="s">
        <v>93</v>
      </c>
      <c r="D147" s="15" t="s">
        <v>94</v>
      </c>
      <c r="E147" s="15" t="s">
        <v>92</v>
      </c>
      <c r="F147" s="15" t="s">
        <v>67</v>
      </c>
      <c r="G147" s="15" t="s">
        <v>74</v>
      </c>
      <c r="H147" s="15" t="s">
        <v>70</v>
      </c>
      <c r="I147" s="16">
        <v>76396</v>
      </c>
      <c r="J147" s="16">
        <v>56948</v>
      </c>
      <c r="K147" s="16">
        <v>74050</v>
      </c>
      <c r="L147" s="17">
        <v>454.3</v>
      </c>
      <c r="M147" s="17">
        <v>37.6</v>
      </c>
      <c r="N147" s="17">
        <f t="shared" si="6"/>
        <v>416.7</v>
      </c>
      <c r="O147" s="17">
        <v>293.8</v>
      </c>
      <c r="P147" s="17">
        <v>401.1</v>
      </c>
      <c r="Q147" s="17">
        <v>242.1</v>
      </c>
      <c r="R147" s="17">
        <f t="shared" si="7"/>
        <v>174.6</v>
      </c>
      <c r="S147" s="17">
        <v>174.2</v>
      </c>
      <c r="T147" s="17">
        <f t="shared" si="8"/>
        <v>119.60000000000002</v>
      </c>
    </row>
    <row r="148" spans="1:20" x14ac:dyDescent="0.35">
      <c r="A148" s="14" t="s">
        <v>62</v>
      </c>
      <c r="B148" s="15" t="s">
        <v>63</v>
      </c>
      <c r="C148" s="15" t="s">
        <v>93</v>
      </c>
      <c r="D148" s="15" t="s">
        <v>94</v>
      </c>
      <c r="E148" s="15" t="s">
        <v>92</v>
      </c>
      <c r="F148" s="15" t="s">
        <v>67</v>
      </c>
      <c r="G148" s="15" t="s">
        <v>74</v>
      </c>
      <c r="H148" s="15" t="s">
        <v>71</v>
      </c>
      <c r="I148" s="16">
        <v>73075</v>
      </c>
      <c r="J148" s="16">
        <v>55980</v>
      </c>
      <c r="K148" s="16">
        <v>71839</v>
      </c>
      <c r="L148" s="17">
        <v>532.6</v>
      </c>
      <c r="M148" s="17">
        <v>42.1</v>
      </c>
      <c r="N148" s="17">
        <f t="shared" si="6"/>
        <v>490.5</v>
      </c>
      <c r="O148" s="17">
        <v>355.6</v>
      </c>
      <c r="P148" s="17">
        <v>472.7</v>
      </c>
      <c r="Q148" s="17">
        <v>296.8</v>
      </c>
      <c r="R148" s="17">
        <f t="shared" si="7"/>
        <v>193.7</v>
      </c>
      <c r="S148" s="17">
        <v>219.3</v>
      </c>
      <c r="T148" s="17">
        <f t="shared" si="8"/>
        <v>136.30000000000001</v>
      </c>
    </row>
    <row r="149" spans="1:20" x14ac:dyDescent="0.35">
      <c r="A149" s="14" t="s">
        <v>62</v>
      </c>
      <c r="B149" s="15" t="s">
        <v>63</v>
      </c>
      <c r="C149" s="15" t="s">
        <v>93</v>
      </c>
      <c r="D149" s="15" t="s">
        <v>94</v>
      </c>
      <c r="E149" s="15" t="s">
        <v>92</v>
      </c>
      <c r="F149" s="15" t="s">
        <v>67</v>
      </c>
      <c r="G149" s="15" t="s">
        <v>75</v>
      </c>
      <c r="H149" s="15" t="s">
        <v>71</v>
      </c>
      <c r="I149" s="16">
        <v>60424</v>
      </c>
      <c r="J149" s="16">
        <v>45665</v>
      </c>
      <c r="K149" s="16">
        <v>58716</v>
      </c>
      <c r="L149" s="17">
        <v>430.2</v>
      </c>
      <c r="M149" s="17">
        <v>31.1</v>
      </c>
      <c r="N149" s="17">
        <f t="shared" si="6"/>
        <v>399.09999999999997</v>
      </c>
      <c r="O149" s="17">
        <v>288.39999999999998</v>
      </c>
      <c r="P149" s="17">
        <v>385.8</v>
      </c>
      <c r="Q149" s="17">
        <v>251.7</v>
      </c>
      <c r="R149" s="17">
        <f t="shared" si="7"/>
        <v>147.39999999999998</v>
      </c>
      <c r="S149" s="17">
        <v>185.1</v>
      </c>
      <c r="T149" s="17">
        <f t="shared" si="8"/>
        <v>103.29999999999998</v>
      </c>
    </row>
    <row r="150" spans="1:20" x14ac:dyDescent="0.35">
      <c r="A150" s="14" t="s">
        <v>62</v>
      </c>
      <c r="B150" s="15" t="s">
        <v>63</v>
      </c>
      <c r="C150" s="15" t="s">
        <v>93</v>
      </c>
      <c r="D150" s="15" t="s">
        <v>94</v>
      </c>
      <c r="E150" s="15" t="s">
        <v>92</v>
      </c>
      <c r="F150" s="15" t="s">
        <v>67</v>
      </c>
      <c r="G150" s="15" t="s">
        <v>76</v>
      </c>
      <c r="H150" s="15" t="s">
        <v>72</v>
      </c>
      <c r="I150" s="16">
        <v>11004</v>
      </c>
      <c r="J150" s="16">
        <v>8197</v>
      </c>
      <c r="K150" s="16">
        <v>10783</v>
      </c>
      <c r="L150" s="17">
        <v>134.6</v>
      </c>
      <c r="M150" s="17">
        <v>11.4</v>
      </c>
      <c r="N150" s="17">
        <f t="shared" si="6"/>
        <v>123.19999999999999</v>
      </c>
      <c r="O150" s="17">
        <v>86.7</v>
      </c>
      <c r="P150" s="17">
        <v>118.9</v>
      </c>
      <c r="Q150" s="17">
        <v>74.8</v>
      </c>
      <c r="R150" s="17">
        <f t="shared" si="7"/>
        <v>48.399999999999991</v>
      </c>
      <c r="S150" s="17">
        <v>53.7</v>
      </c>
      <c r="T150" s="17">
        <f t="shared" si="8"/>
        <v>33</v>
      </c>
    </row>
    <row r="151" spans="1:20" x14ac:dyDescent="0.35">
      <c r="A151" s="14" t="s">
        <v>62</v>
      </c>
      <c r="B151" s="15" t="s">
        <v>63</v>
      </c>
      <c r="C151" s="15" t="s">
        <v>93</v>
      </c>
      <c r="D151" s="15" t="s">
        <v>94</v>
      </c>
      <c r="E151" s="15" t="s">
        <v>92</v>
      </c>
      <c r="F151" s="15" t="s">
        <v>79</v>
      </c>
      <c r="G151" s="15" t="s">
        <v>95</v>
      </c>
      <c r="H151" s="15" t="s">
        <v>71</v>
      </c>
      <c r="I151" s="16">
        <v>54213</v>
      </c>
      <c r="J151" s="16">
        <v>40629</v>
      </c>
      <c r="K151" s="16">
        <v>52605</v>
      </c>
      <c r="L151" s="17">
        <v>245.9</v>
      </c>
      <c r="M151" s="17">
        <v>21.9</v>
      </c>
      <c r="N151" s="17">
        <f t="shared" si="6"/>
        <v>224</v>
      </c>
      <c r="O151" s="17">
        <v>158.80000000000001</v>
      </c>
      <c r="P151" s="17">
        <v>218.4</v>
      </c>
      <c r="Q151" s="17">
        <v>133.4</v>
      </c>
      <c r="R151" s="17">
        <f t="shared" si="7"/>
        <v>90.6</v>
      </c>
      <c r="S151" s="17">
        <v>96.5</v>
      </c>
      <c r="T151" s="17">
        <f t="shared" si="8"/>
        <v>62.300000000000011</v>
      </c>
    </row>
    <row r="152" spans="1:20" x14ac:dyDescent="0.35">
      <c r="A152" s="14" t="s">
        <v>62</v>
      </c>
      <c r="B152" s="15" t="s">
        <v>63</v>
      </c>
      <c r="C152" s="15" t="s">
        <v>93</v>
      </c>
      <c r="D152" s="15" t="s">
        <v>94</v>
      </c>
      <c r="E152" s="15" t="s">
        <v>92</v>
      </c>
      <c r="F152" s="15" t="s">
        <v>81</v>
      </c>
      <c r="G152" s="15" t="s">
        <v>82</v>
      </c>
      <c r="H152" s="15" t="s">
        <v>71</v>
      </c>
      <c r="I152" s="16">
        <v>19143</v>
      </c>
      <c r="J152" s="16">
        <v>13927</v>
      </c>
      <c r="K152" s="16">
        <v>18621</v>
      </c>
      <c r="L152" s="17">
        <v>192.4</v>
      </c>
      <c r="M152" s="17">
        <v>14.7</v>
      </c>
      <c r="N152" s="17">
        <f t="shared" si="6"/>
        <v>177.70000000000002</v>
      </c>
      <c r="O152" s="17">
        <v>122.8</v>
      </c>
      <c r="P152" s="17">
        <v>173.2</v>
      </c>
      <c r="Q152" s="17">
        <v>108.3</v>
      </c>
      <c r="R152" s="17">
        <f t="shared" si="7"/>
        <v>69.40000000000002</v>
      </c>
      <c r="S152" s="17">
        <v>75.900000000000006</v>
      </c>
      <c r="T152" s="17">
        <f t="shared" si="8"/>
        <v>46.899999999999991</v>
      </c>
    </row>
    <row r="153" spans="1:20" x14ac:dyDescent="0.35">
      <c r="A153" s="14" t="s">
        <v>62</v>
      </c>
      <c r="B153" s="15" t="s">
        <v>63</v>
      </c>
      <c r="C153" s="15" t="s">
        <v>93</v>
      </c>
      <c r="D153" s="15" t="s">
        <v>94</v>
      </c>
      <c r="E153" s="15" t="s">
        <v>92</v>
      </c>
      <c r="F153" s="15" t="s">
        <v>83</v>
      </c>
      <c r="G153" s="15" t="s">
        <v>84</v>
      </c>
      <c r="H153" s="15" t="s">
        <v>72</v>
      </c>
      <c r="I153" s="16">
        <v>9943</v>
      </c>
      <c r="J153" s="16">
        <v>6726</v>
      </c>
      <c r="K153" s="16">
        <v>9716</v>
      </c>
      <c r="L153" s="17">
        <v>310.3</v>
      </c>
      <c r="M153" s="17">
        <v>23.9</v>
      </c>
      <c r="N153" s="17">
        <f t="shared" si="6"/>
        <v>286.40000000000003</v>
      </c>
      <c r="O153" s="17">
        <v>183.6</v>
      </c>
      <c r="P153" s="17">
        <v>275.39999999999998</v>
      </c>
      <c r="Q153" s="17">
        <v>168</v>
      </c>
      <c r="R153" s="17">
        <f t="shared" si="7"/>
        <v>118.40000000000003</v>
      </c>
      <c r="S153" s="17">
        <v>110.2</v>
      </c>
      <c r="T153" s="17">
        <f t="shared" si="8"/>
        <v>73.399999999999991</v>
      </c>
    </row>
    <row r="154" spans="1:20" x14ac:dyDescent="0.35">
      <c r="A154" s="14" t="s">
        <v>62</v>
      </c>
      <c r="B154" s="15" t="s">
        <v>63</v>
      </c>
      <c r="C154" s="15" t="s">
        <v>93</v>
      </c>
      <c r="D154" s="15" t="s">
        <v>96</v>
      </c>
      <c r="E154" s="15" t="s">
        <v>66</v>
      </c>
      <c r="F154" s="15" t="s">
        <v>67</v>
      </c>
      <c r="G154" s="15" t="s">
        <v>68</v>
      </c>
      <c r="H154" s="15" t="s">
        <v>69</v>
      </c>
      <c r="I154" s="16">
        <v>119522</v>
      </c>
      <c r="J154" s="16">
        <v>105311</v>
      </c>
      <c r="K154" s="16">
        <v>115481</v>
      </c>
      <c r="L154" s="17">
        <v>519.20000000000005</v>
      </c>
      <c r="M154" s="17">
        <v>74.099999999999994</v>
      </c>
      <c r="N154" s="17">
        <f t="shared" si="6"/>
        <v>445.1</v>
      </c>
      <c r="O154" s="17">
        <v>363.3</v>
      </c>
      <c r="P154" s="17">
        <v>422.3</v>
      </c>
      <c r="Q154" s="17">
        <v>239.7</v>
      </c>
      <c r="R154" s="17">
        <f t="shared" si="7"/>
        <v>205.40000000000003</v>
      </c>
      <c r="S154" s="17">
        <v>197.9</v>
      </c>
      <c r="T154" s="17">
        <f t="shared" si="8"/>
        <v>165.4</v>
      </c>
    </row>
    <row r="155" spans="1:20" x14ac:dyDescent="0.35">
      <c r="A155" s="14" t="s">
        <v>62</v>
      </c>
      <c r="B155" s="15" t="s">
        <v>63</v>
      </c>
      <c r="C155" s="15" t="s">
        <v>93</v>
      </c>
      <c r="D155" s="15" t="s">
        <v>96</v>
      </c>
      <c r="E155" s="15" t="s">
        <v>66</v>
      </c>
      <c r="F155" s="15" t="s">
        <v>67</v>
      </c>
      <c r="G155" s="15" t="s">
        <v>68</v>
      </c>
      <c r="H155" s="15" t="s">
        <v>70</v>
      </c>
      <c r="I155" s="16">
        <v>194569</v>
      </c>
      <c r="J155" s="16">
        <v>165289</v>
      </c>
      <c r="K155" s="16">
        <v>188650</v>
      </c>
      <c r="L155" s="17">
        <v>990.3</v>
      </c>
      <c r="M155" s="17">
        <v>135.4</v>
      </c>
      <c r="N155" s="17">
        <f t="shared" si="6"/>
        <v>854.9</v>
      </c>
      <c r="O155" s="17">
        <v>669.9</v>
      </c>
      <c r="P155" s="17">
        <v>818.9</v>
      </c>
      <c r="Q155" s="17">
        <v>494.6</v>
      </c>
      <c r="R155" s="17">
        <f t="shared" si="7"/>
        <v>360.29999999999995</v>
      </c>
      <c r="S155" s="17">
        <v>390.8</v>
      </c>
      <c r="T155" s="17">
        <f t="shared" si="8"/>
        <v>279.09999999999997</v>
      </c>
    </row>
    <row r="156" spans="1:20" x14ac:dyDescent="0.35">
      <c r="A156" s="14" t="s">
        <v>62</v>
      </c>
      <c r="B156" s="15" t="s">
        <v>63</v>
      </c>
      <c r="C156" s="15" t="s">
        <v>93</v>
      </c>
      <c r="D156" s="15" t="s">
        <v>96</v>
      </c>
      <c r="E156" s="15" t="s">
        <v>66</v>
      </c>
      <c r="F156" s="15" t="s">
        <v>67</v>
      </c>
      <c r="G156" s="15" t="s">
        <v>68</v>
      </c>
      <c r="H156" s="15" t="s">
        <v>71</v>
      </c>
      <c r="I156" s="16">
        <v>420005</v>
      </c>
      <c r="J156" s="16">
        <v>365811</v>
      </c>
      <c r="K156" s="16">
        <v>404182</v>
      </c>
      <c r="L156" s="17">
        <v>2676.4</v>
      </c>
      <c r="M156" s="17">
        <v>352.5</v>
      </c>
      <c r="N156" s="17">
        <f t="shared" si="6"/>
        <v>2323.9</v>
      </c>
      <c r="O156" s="17">
        <v>1861.1</v>
      </c>
      <c r="P156" s="17">
        <v>2224.6999999999998</v>
      </c>
      <c r="Q156" s="17">
        <v>1458.3</v>
      </c>
      <c r="R156" s="17">
        <f t="shared" si="7"/>
        <v>865.60000000000014</v>
      </c>
      <c r="S156" s="17">
        <v>1193.0999999999999</v>
      </c>
      <c r="T156" s="17">
        <f t="shared" si="8"/>
        <v>668</v>
      </c>
    </row>
    <row r="157" spans="1:20" x14ac:dyDescent="0.35">
      <c r="A157" s="14" t="s">
        <v>62</v>
      </c>
      <c r="B157" s="15" t="s">
        <v>63</v>
      </c>
      <c r="C157" s="15" t="s">
        <v>93</v>
      </c>
      <c r="D157" s="15" t="s">
        <v>96</v>
      </c>
      <c r="E157" s="15" t="s">
        <v>66</v>
      </c>
      <c r="F157" s="15" t="s">
        <v>67</v>
      </c>
      <c r="G157" s="15" t="s">
        <v>68</v>
      </c>
      <c r="H157" s="15" t="s">
        <v>72</v>
      </c>
      <c r="I157" s="16">
        <v>128886</v>
      </c>
      <c r="J157" s="16">
        <v>110344</v>
      </c>
      <c r="K157" s="16">
        <v>123919</v>
      </c>
      <c r="L157" s="17">
        <v>1117.9000000000001</v>
      </c>
      <c r="M157" s="17">
        <v>162</v>
      </c>
      <c r="N157" s="17">
        <f t="shared" si="6"/>
        <v>955.90000000000009</v>
      </c>
      <c r="O157" s="17">
        <v>751.5</v>
      </c>
      <c r="P157" s="17">
        <v>907.4</v>
      </c>
      <c r="Q157" s="17">
        <v>613.4</v>
      </c>
      <c r="R157" s="17">
        <f t="shared" si="7"/>
        <v>342.50000000000011</v>
      </c>
      <c r="S157" s="17">
        <v>493.2</v>
      </c>
      <c r="T157" s="17">
        <f t="shared" si="8"/>
        <v>258.3</v>
      </c>
    </row>
    <row r="158" spans="1:20" x14ac:dyDescent="0.35">
      <c r="A158" s="14" t="s">
        <v>62</v>
      </c>
      <c r="B158" s="15" t="s">
        <v>63</v>
      </c>
      <c r="C158" s="15" t="s">
        <v>93</v>
      </c>
      <c r="D158" s="15" t="s">
        <v>96</v>
      </c>
      <c r="E158" s="15" t="s">
        <v>66</v>
      </c>
      <c r="F158" s="15" t="s">
        <v>67</v>
      </c>
      <c r="G158" s="15" t="s">
        <v>73</v>
      </c>
      <c r="H158" s="15" t="s">
        <v>71</v>
      </c>
      <c r="I158" s="16">
        <v>99162</v>
      </c>
      <c r="J158" s="16">
        <v>80450</v>
      </c>
      <c r="K158" s="16">
        <v>95637</v>
      </c>
      <c r="L158" s="17">
        <v>614.1</v>
      </c>
      <c r="M158" s="17">
        <v>89.9</v>
      </c>
      <c r="N158" s="17">
        <f t="shared" si="6"/>
        <v>524.20000000000005</v>
      </c>
      <c r="O158" s="17">
        <v>396.5</v>
      </c>
      <c r="P158" s="17">
        <v>505.8</v>
      </c>
      <c r="Q158" s="17">
        <v>329.6</v>
      </c>
      <c r="R158" s="17">
        <f t="shared" si="7"/>
        <v>194.60000000000002</v>
      </c>
      <c r="S158" s="17">
        <v>253.5</v>
      </c>
      <c r="T158" s="17">
        <f t="shared" si="8"/>
        <v>143</v>
      </c>
    </row>
    <row r="159" spans="1:20" x14ac:dyDescent="0.35">
      <c r="A159" s="14" t="s">
        <v>62</v>
      </c>
      <c r="B159" s="15" t="s">
        <v>63</v>
      </c>
      <c r="C159" s="15" t="s">
        <v>93</v>
      </c>
      <c r="D159" s="15" t="s">
        <v>96</v>
      </c>
      <c r="E159" s="15" t="s">
        <v>66</v>
      </c>
      <c r="F159" s="15" t="s">
        <v>67</v>
      </c>
      <c r="G159" s="15" t="s">
        <v>73</v>
      </c>
      <c r="H159" s="15" t="s">
        <v>72</v>
      </c>
      <c r="I159" s="16">
        <v>49894</v>
      </c>
      <c r="J159" s="16">
        <v>39531</v>
      </c>
      <c r="K159" s="16">
        <v>48164</v>
      </c>
      <c r="L159" s="17">
        <v>419.7</v>
      </c>
      <c r="M159" s="17">
        <v>60</v>
      </c>
      <c r="N159" s="17">
        <f t="shared" si="6"/>
        <v>359.7</v>
      </c>
      <c r="O159" s="17">
        <v>264.3</v>
      </c>
      <c r="P159" s="17">
        <v>345.2</v>
      </c>
      <c r="Q159" s="17">
        <v>227.1</v>
      </c>
      <c r="R159" s="17">
        <f t="shared" si="7"/>
        <v>132.6</v>
      </c>
      <c r="S159" s="17">
        <v>168.4</v>
      </c>
      <c r="T159" s="17">
        <f t="shared" si="8"/>
        <v>95.9</v>
      </c>
    </row>
    <row r="160" spans="1:20" x14ac:dyDescent="0.35">
      <c r="A160" s="14" t="s">
        <v>62</v>
      </c>
      <c r="B160" s="15" t="s">
        <v>63</v>
      </c>
      <c r="C160" s="15" t="s">
        <v>93</v>
      </c>
      <c r="D160" s="15" t="s">
        <v>96</v>
      </c>
      <c r="E160" s="15" t="s">
        <v>66</v>
      </c>
      <c r="F160" s="15" t="s">
        <v>67</v>
      </c>
      <c r="G160" s="15" t="s">
        <v>74</v>
      </c>
      <c r="H160" s="15" t="s">
        <v>70</v>
      </c>
      <c r="I160" s="16">
        <v>75592</v>
      </c>
      <c r="J160" s="16">
        <v>64449</v>
      </c>
      <c r="K160" s="16">
        <v>72903</v>
      </c>
      <c r="L160" s="17">
        <v>371.3</v>
      </c>
      <c r="M160" s="17">
        <v>53.4</v>
      </c>
      <c r="N160" s="17">
        <f t="shared" si="6"/>
        <v>317.90000000000003</v>
      </c>
      <c r="O160" s="17">
        <v>250.4</v>
      </c>
      <c r="P160" s="17">
        <v>302.10000000000002</v>
      </c>
      <c r="Q160" s="17">
        <v>178.7</v>
      </c>
      <c r="R160" s="17">
        <f t="shared" si="7"/>
        <v>139.20000000000005</v>
      </c>
      <c r="S160" s="17">
        <v>143.5</v>
      </c>
      <c r="T160" s="17">
        <f t="shared" si="8"/>
        <v>106.9</v>
      </c>
    </row>
    <row r="161" spans="1:20" x14ac:dyDescent="0.35">
      <c r="A161" s="14" t="s">
        <v>62</v>
      </c>
      <c r="B161" s="15" t="s">
        <v>63</v>
      </c>
      <c r="C161" s="15" t="s">
        <v>93</v>
      </c>
      <c r="D161" s="15" t="s">
        <v>96</v>
      </c>
      <c r="E161" s="15" t="s">
        <v>66</v>
      </c>
      <c r="F161" s="15" t="s">
        <v>67</v>
      </c>
      <c r="G161" s="15" t="s">
        <v>74</v>
      </c>
      <c r="H161" s="15" t="s">
        <v>71</v>
      </c>
      <c r="I161" s="16">
        <v>149412</v>
      </c>
      <c r="J161" s="16">
        <v>130123</v>
      </c>
      <c r="K161" s="16">
        <v>143344</v>
      </c>
      <c r="L161" s="17">
        <v>913.4</v>
      </c>
      <c r="M161" s="17">
        <v>118.8</v>
      </c>
      <c r="N161" s="17">
        <f t="shared" si="6"/>
        <v>794.6</v>
      </c>
      <c r="O161" s="17">
        <v>643.9</v>
      </c>
      <c r="P161" s="17">
        <v>764</v>
      </c>
      <c r="Q161" s="17">
        <v>491</v>
      </c>
      <c r="R161" s="17">
        <f t="shared" si="7"/>
        <v>303.60000000000002</v>
      </c>
      <c r="S161" s="17">
        <v>403.5</v>
      </c>
      <c r="T161" s="17">
        <f t="shared" si="8"/>
        <v>240.39999999999998</v>
      </c>
    </row>
    <row r="162" spans="1:20" x14ac:dyDescent="0.35">
      <c r="A162" s="14" t="s">
        <v>62</v>
      </c>
      <c r="B162" s="15" t="s">
        <v>63</v>
      </c>
      <c r="C162" s="15" t="s">
        <v>93</v>
      </c>
      <c r="D162" s="15" t="s">
        <v>96</v>
      </c>
      <c r="E162" s="15" t="s">
        <v>66</v>
      </c>
      <c r="F162" s="15" t="s">
        <v>67</v>
      </c>
      <c r="G162" s="15" t="s">
        <v>75</v>
      </c>
      <c r="H162" s="15" t="s">
        <v>71</v>
      </c>
      <c r="I162" s="16">
        <v>122909</v>
      </c>
      <c r="J162" s="16">
        <v>106194</v>
      </c>
      <c r="K162" s="16">
        <v>117976</v>
      </c>
      <c r="L162" s="17">
        <v>761</v>
      </c>
      <c r="M162" s="17">
        <v>109.4</v>
      </c>
      <c r="N162" s="17">
        <f t="shared" si="6"/>
        <v>651.6</v>
      </c>
      <c r="O162" s="17">
        <v>518</v>
      </c>
      <c r="P162" s="17">
        <v>625.79999999999995</v>
      </c>
      <c r="Q162" s="17">
        <v>398.3</v>
      </c>
      <c r="R162" s="17">
        <f t="shared" si="7"/>
        <v>253.3</v>
      </c>
      <c r="S162" s="17">
        <v>320.8</v>
      </c>
      <c r="T162" s="17">
        <f t="shared" si="8"/>
        <v>197.2</v>
      </c>
    </row>
    <row r="163" spans="1:20" x14ac:dyDescent="0.35">
      <c r="A163" s="14" t="s">
        <v>62</v>
      </c>
      <c r="B163" s="15" t="s">
        <v>63</v>
      </c>
      <c r="C163" s="15" t="s">
        <v>93</v>
      </c>
      <c r="D163" s="15" t="s">
        <v>96</v>
      </c>
      <c r="E163" s="15" t="s">
        <v>66</v>
      </c>
      <c r="F163" s="15" t="s">
        <v>67</v>
      </c>
      <c r="G163" s="15" t="s">
        <v>76</v>
      </c>
      <c r="H163" s="15" t="s">
        <v>72</v>
      </c>
      <c r="I163" s="16">
        <v>37848</v>
      </c>
      <c r="J163" s="16">
        <v>31843</v>
      </c>
      <c r="K163" s="16">
        <v>36702</v>
      </c>
      <c r="L163" s="17">
        <v>397.5</v>
      </c>
      <c r="M163" s="17">
        <v>58</v>
      </c>
      <c r="N163" s="17">
        <f t="shared" si="6"/>
        <v>339.5</v>
      </c>
      <c r="O163" s="17">
        <v>262.2</v>
      </c>
      <c r="P163" s="17">
        <v>324.60000000000002</v>
      </c>
      <c r="Q163" s="17">
        <v>208.5</v>
      </c>
      <c r="R163" s="17">
        <f t="shared" si="7"/>
        <v>131</v>
      </c>
      <c r="S163" s="17">
        <v>162.80000000000001</v>
      </c>
      <c r="T163" s="17">
        <f t="shared" si="8"/>
        <v>99.399999999999977</v>
      </c>
    </row>
    <row r="164" spans="1:20" x14ac:dyDescent="0.35">
      <c r="A164" s="14" t="s">
        <v>62</v>
      </c>
      <c r="B164" s="15" t="s">
        <v>63</v>
      </c>
      <c r="C164" s="15" t="s">
        <v>93</v>
      </c>
      <c r="D164" s="15" t="s">
        <v>96</v>
      </c>
      <c r="E164" s="15" t="s">
        <v>66</v>
      </c>
      <c r="F164" s="15" t="s">
        <v>79</v>
      </c>
      <c r="G164" s="15" t="s">
        <v>95</v>
      </c>
      <c r="H164" s="15" t="s">
        <v>71</v>
      </c>
      <c r="I164" s="16">
        <v>133258</v>
      </c>
      <c r="J164" s="16">
        <v>113371</v>
      </c>
      <c r="K164" s="16">
        <v>129523</v>
      </c>
      <c r="L164" s="17">
        <v>504.2</v>
      </c>
      <c r="M164" s="17">
        <v>74.900000000000006</v>
      </c>
      <c r="N164" s="17">
        <f t="shared" si="6"/>
        <v>429.29999999999995</v>
      </c>
      <c r="O164" s="17">
        <v>339.5</v>
      </c>
      <c r="P164" s="17">
        <v>410.9</v>
      </c>
      <c r="Q164" s="17">
        <v>257.7</v>
      </c>
      <c r="R164" s="17">
        <f t="shared" si="7"/>
        <v>171.59999999999997</v>
      </c>
      <c r="S164" s="17">
        <v>208.4</v>
      </c>
      <c r="T164" s="17">
        <f t="shared" si="8"/>
        <v>131.1</v>
      </c>
    </row>
    <row r="165" spans="1:20" x14ac:dyDescent="0.35">
      <c r="A165" s="14" t="s">
        <v>62</v>
      </c>
      <c r="B165" s="15" t="s">
        <v>63</v>
      </c>
      <c r="C165" s="15" t="s">
        <v>93</v>
      </c>
      <c r="D165" s="15" t="s">
        <v>96</v>
      </c>
      <c r="E165" s="15" t="s">
        <v>66</v>
      </c>
      <c r="F165" s="15" t="s">
        <v>81</v>
      </c>
      <c r="G165" s="15" t="s">
        <v>82</v>
      </c>
      <c r="H165" s="15" t="s">
        <v>71</v>
      </c>
      <c r="I165" s="16">
        <v>37881</v>
      </c>
      <c r="J165" s="16">
        <v>31775</v>
      </c>
      <c r="K165" s="16">
        <v>36453</v>
      </c>
      <c r="L165" s="17">
        <v>306.3</v>
      </c>
      <c r="M165" s="17">
        <v>45.5</v>
      </c>
      <c r="N165" s="17">
        <f t="shared" si="6"/>
        <v>260.8</v>
      </c>
      <c r="O165" s="17">
        <v>202.3</v>
      </c>
      <c r="P165" s="17">
        <v>249.4</v>
      </c>
      <c r="Q165" s="17">
        <v>164</v>
      </c>
      <c r="R165" s="17">
        <f t="shared" si="7"/>
        <v>96.800000000000011</v>
      </c>
      <c r="S165" s="17">
        <v>128.69999999999999</v>
      </c>
      <c r="T165" s="17">
        <f t="shared" si="8"/>
        <v>73.600000000000023</v>
      </c>
    </row>
    <row r="166" spans="1:20" x14ac:dyDescent="0.35">
      <c r="A166" s="14" t="s">
        <v>62</v>
      </c>
      <c r="B166" s="15" t="s">
        <v>63</v>
      </c>
      <c r="C166" s="15" t="s">
        <v>93</v>
      </c>
      <c r="D166" s="15" t="s">
        <v>96</v>
      </c>
      <c r="E166" s="15" t="s">
        <v>66</v>
      </c>
      <c r="F166" s="15" t="s">
        <v>83</v>
      </c>
      <c r="G166" s="15" t="s">
        <v>84</v>
      </c>
      <c r="H166" s="15" t="s">
        <v>72</v>
      </c>
      <c r="I166" s="16">
        <v>37673</v>
      </c>
      <c r="J166" s="16">
        <v>28378</v>
      </c>
      <c r="K166" s="16">
        <v>36147</v>
      </c>
      <c r="L166" s="17">
        <v>988.6</v>
      </c>
      <c r="M166" s="17">
        <v>144.30000000000001</v>
      </c>
      <c r="N166" s="17">
        <f t="shared" si="6"/>
        <v>844.3</v>
      </c>
      <c r="O166" s="17">
        <v>583.5</v>
      </c>
      <c r="P166" s="17">
        <v>805.4</v>
      </c>
      <c r="Q166" s="17">
        <v>477.8</v>
      </c>
      <c r="R166" s="17">
        <f t="shared" si="7"/>
        <v>366.49999999999994</v>
      </c>
      <c r="S166" s="17">
        <v>333.3</v>
      </c>
      <c r="T166" s="17">
        <f t="shared" si="8"/>
        <v>250.2</v>
      </c>
    </row>
    <row r="167" spans="1:20" x14ac:dyDescent="0.35">
      <c r="A167" s="14" t="s">
        <v>62</v>
      </c>
      <c r="B167" s="15" t="s">
        <v>63</v>
      </c>
      <c r="C167" s="15" t="s">
        <v>93</v>
      </c>
      <c r="D167" s="15" t="s">
        <v>96</v>
      </c>
      <c r="E167" s="15" t="s">
        <v>89</v>
      </c>
      <c r="F167" s="15" t="s">
        <v>67</v>
      </c>
      <c r="G167" s="15" t="s">
        <v>68</v>
      </c>
      <c r="H167" s="15" t="s">
        <v>69</v>
      </c>
      <c r="I167" s="16">
        <v>759864</v>
      </c>
      <c r="J167" s="16">
        <v>675035</v>
      </c>
      <c r="K167" s="16">
        <v>732409</v>
      </c>
      <c r="L167" s="17">
        <v>3173.5</v>
      </c>
      <c r="M167" s="17">
        <v>204.5</v>
      </c>
      <c r="N167" s="17">
        <f t="shared" si="6"/>
        <v>2969</v>
      </c>
      <c r="O167" s="17">
        <v>2438.6999999999998</v>
      </c>
      <c r="P167" s="17">
        <v>2849.3</v>
      </c>
      <c r="Q167" s="17">
        <v>1675.8</v>
      </c>
      <c r="R167" s="17">
        <f t="shared" si="7"/>
        <v>1293.2</v>
      </c>
      <c r="S167" s="17">
        <v>1407.9</v>
      </c>
      <c r="T167" s="17">
        <f t="shared" si="8"/>
        <v>1030.7999999999997</v>
      </c>
    </row>
    <row r="168" spans="1:20" x14ac:dyDescent="0.35">
      <c r="A168" s="14" t="s">
        <v>62</v>
      </c>
      <c r="B168" s="15" t="s">
        <v>63</v>
      </c>
      <c r="C168" s="15" t="s">
        <v>93</v>
      </c>
      <c r="D168" s="15" t="s">
        <v>96</v>
      </c>
      <c r="E168" s="15" t="s">
        <v>89</v>
      </c>
      <c r="F168" s="15" t="s">
        <v>67</v>
      </c>
      <c r="G168" s="15" t="s">
        <v>68</v>
      </c>
      <c r="H168" s="15" t="s">
        <v>70</v>
      </c>
      <c r="I168" s="16">
        <v>477448</v>
      </c>
      <c r="J168" s="16">
        <v>410852</v>
      </c>
      <c r="K168" s="16">
        <v>459266</v>
      </c>
      <c r="L168" s="17">
        <v>2338.9</v>
      </c>
      <c r="M168" s="17">
        <v>150.19999999999999</v>
      </c>
      <c r="N168" s="17">
        <f t="shared" si="6"/>
        <v>2188.7000000000003</v>
      </c>
      <c r="O168" s="17">
        <v>1758.6</v>
      </c>
      <c r="P168" s="17">
        <v>2099.1999999999998</v>
      </c>
      <c r="Q168" s="17">
        <v>1262.8</v>
      </c>
      <c r="R168" s="17">
        <f t="shared" si="7"/>
        <v>925.90000000000032</v>
      </c>
      <c r="S168" s="17">
        <v>1037.2</v>
      </c>
      <c r="T168" s="17">
        <f t="shared" si="8"/>
        <v>721.39999999999986</v>
      </c>
    </row>
    <row r="169" spans="1:20" x14ac:dyDescent="0.35">
      <c r="A169" s="14" t="s">
        <v>62</v>
      </c>
      <c r="B169" s="15" t="s">
        <v>63</v>
      </c>
      <c r="C169" s="15" t="s">
        <v>93</v>
      </c>
      <c r="D169" s="15" t="s">
        <v>96</v>
      </c>
      <c r="E169" s="15" t="s">
        <v>89</v>
      </c>
      <c r="F169" s="15" t="s">
        <v>67</v>
      </c>
      <c r="G169" s="15" t="s">
        <v>68</v>
      </c>
      <c r="H169" s="15" t="s">
        <v>71</v>
      </c>
      <c r="I169" s="16">
        <v>562250</v>
      </c>
      <c r="J169" s="16">
        <v>503188</v>
      </c>
      <c r="K169" s="16">
        <v>540874</v>
      </c>
      <c r="L169" s="17">
        <v>3537.1</v>
      </c>
      <c r="M169" s="17">
        <v>265.5</v>
      </c>
      <c r="N169" s="17">
        <f t="shared" si="6"/>
        <v>3271.6</v>
      </c>
      <c r="O169" s="17">
        <v>2721.9</v>
      </c>
      <c r="P169" s="17">
        <v>3138.5</v>
      </c>
      <c r="Q169" s="17">
        <v>1995.5</v>
      </c>
      <c r="R169" s="17">
        <f t="shared" si="7"/>
        <v>1276.0999999999999</v>
      </c>
      <c r="S169" s="17">
        <v>1700.9</v>
      </c>
      <c r="T169" s="17">
        <f t="shared" si="8"/>
        <v>1021</v>
      </c>
    </row>
    <row r="170" spans="1:20" x14ac:dyDescent="0.35">
      <c r="A170" s="14" t="s">
        <v>62</v>
      </c>
      <c r="B170" s="15" t="s">
        <v>63</v>
      </c>
      <c r="C170" s="15" t="s">
        <v>93</v>
      </c>
      <c r="D170" s="15" t="s">
        <v>96</v>
      </c>
      <c r="E170" s="15" t="s">
        <v>89</v>
      </c>
      <c r="F170" s="15" t="s">
        <v>67</v>
      </c>
      <c r="G170" s="15" t="s">
        <v>68</v>
      </c>
      <c r="H170" s="15" t="s">
        <v>72</v>
      </c>
      <c r="I170" s="16">
        <v>108598</v>
      </c>
      <c r="J170" s="16">
        <v>95441</v>
      </c>
      <c r="K170" s="16">
        <v>104381</v>
      </c>
      <c r="L170" s="17">
        <v>913.5</v>
      </c>
      <c r="M170" s="17">
        <v>71.599999999999994</v>
      </c>
      <c r="N170" s="17">
        <f t="shared" si="6"/>
        <v>841.9</v>
      </c>
      <c r="O170" s="17">
        <v>687.3</v>
      </c>
      <c r="P170" s="17">
        <v>798.7</v>
      </c>
      <c r="Q170" s="17">
        <v>532.6</v>
      </c>
      <c r="R170" s="17">
        <f t="shared" si="7"/>
        <v>309.29999999999995</v>
      </c>
      <c r="S170" s="17">
        <v>439.4</v>
      </c>
      <c r="T170" s="17">
        <f t="shared" si="8"/>
        <v>247.89999999999998</v>
      </c>
    </row>
    <row r="171" spans="1:20" x14ac:dyDescent="0.35">
      <c r="A171" s="14" t="s">
        <v>62</v>
      </c>
      <c r="B171" s="15" t="s">
        <v>63</v>
      </c>
      <c r="C171" s="15" t="s">
        <v>93</v>
      </c>
      <c r="D171" s="15" t="s">
        <v>96</v>
      </c>
      <c r="E171" s="15" t="s">
        <v>89</v>
      </c>
      <c r="F171" s="15" t="s">
        <v>67</v>
      </c>
      <c r="G171" s="15" t="s">
        <v>73</v>
      </c>
      <c r="H171" s="15" t="s">
        <v>71</v>
      </c>
      <c r="I171" s="16">
        <v>136983</v>
      </c>
      <c r="J171" s="16">
        <v>110095</v>
      </c>
      <c r="K171" s="16">
        <v>131949</v>
      </c>
      <c r="L171" s="17">
        <v>818.5</v>
      </c>
      <c r="M171" s="17">
        <v>51.6</v>
      </c>
      <c r="N171" s="17">
        <f t="shared" si="6"/>
        <v>766.9</v>
      </c>
      <c r="O171" s="17">
        <v>571.6</v>
      </c>
      <c r="P171" s="17">
        <v>739.9</v>
      </c>
      <c r="Q171" s="17">
        <v>475.4</v>
      </c>
      <c r="R171" s="17">
        <f t="shared" si="7"/>
        <v>291.5</v>
      </c>
      <c r="S171" s="17">
        <v>360</v>
      </c>
      <c r="T171" s="17">
        <f t="shared" si="8"/>
        <v>211.60000000000002</v>
      </c>
    </row>
    <row r="172" spans="1:20" x14ac:dyDescent="0.35">
      <c r="A172" s="14" t="s">
        <v>62</v>
      </c>
      <c r="B172" s="15" t="s">
        <v>63</v>
      </c>
      <c r="C172" s="15" t="s">
        <v>93</v>
      </c>
      <c r="D172" s="15" t="s">
        <v>96</v>
      </c>
      <c r="E172" s="15" t="s">
        <v>89</v>
      </c>
      <c r="F172" s="15" t="s">
        <v>67</v>
      </c>
      <c r="G172" s="15" t="s">
        <v>73</v>
      </c>
      <c r="H172" s="15" t="s">
        <v>72</v>
      </c>
      <c r="I172" s="16">
        <v>31351</v>
      </c>
      <c r="J172" s="16">
        <v>25296</v>
      </c>
      <c r="K172" s="16">
        <v>30220</v>
      </c>
      <c r="L172" s="17">
        <v>253.7</v>
      </c>
      <c r="M172" s="17">
        <v>15.7</v>
      </c>
      <c r="N172" s="17">
        <f t="shared" si="6"/>
        <v>238</v>
      </c>
      <c r="O172" s="17">
        <v>176.4</v>
      </c>
      <c r="P172" s="17">
        <v>226.6</v>
      </c>
      <c r="Q172" s="17">
        <v>151.69999999999999</v>
      </c>
      <c r="R172" s="17">
        <f t="shared" si="7"/>
        <v>86.300000000000011</v>
      </c>
      <c r="S172" s="17">
        <v>114.3</v>
      </c>
      <c r="T172" s="17">
        <f t="shared" si="8"/>
        <v>62.100000000000009</v>
      </c>
    </row>
    <row r="173" spans="1:20" x14ac:dyDescent="0.35">
      <c r="A173" s="14" t="s">
        <v>62</v>
      </c>
      <c r="B173" s="15" t="s">
        <v>63</v>
      </c>
      <c r="C173" s="15" t="s">
        <v>93</v>
      </c>
      <c r="D173" s="15" t="s">
        <v>96</v>
      </c>
      <c r="E173" s="15" t="s">
        <v>89</v>
      </c>
      <c r="F173" s="15" t="s">
        <v>67</v>
      </c>
      <c r="G173" s="15" t="s">
        <v>74</v>
      </c>
      <c r="H173" s="15" t="s">
        <v>70</v>
      </c>
      <c r="I173" s="16">
        <v>243079</v>
      </c>
      <c r="J173" s="16">
        <v>212093</v>
      </c>
      <c r="K173" s="16">
        <v>235439</v>
      </c>
      <c r="L173" s="17">
        <v>1161.2</v>
      </c>
      <c r="M173" s="17">
        <v>82.9</v>
      </c>
      <c r="N173" s="17">
        <f t="shared" si="6"/>
        <v>1078.3</v>
      </c>
      <c r="O173" s="17">
        <v>866.2</v>
      </c>
      <c r="P173" s="17">
        <v>1031.2</v>
      </c>
      <c r="Q173" s="17">
        <v>615.29999999999995</v>
      </c>
      <c r="R173" s="17">
        <f t="shared" si="7"/>
        <v>463</v>
      </c>
      <c r="S173" s="17">
        <v>499.9</v>
      </c>
      <c r="T173" s="17">
        <f t="shared" si="8"/>
        <v>366.30000000000007</v>
      </c>
    </row>
    <row r="174" spans="1:20" x14ac:dyDescent="0.35">
      <c r="A174" s="14" t="s">
        <v>62</v>
      </c>
      <c r="B174" s="15" t="s">
        <v>63</v>
      </c>
      <c r="C174" s="15" t="s">
        <v>93</v>
      </c>
      <c r="D174" s="15" t="s">
        <v>96</v>
      </c>
      <c r="E174" s="15" t="s">
        <v>89</v>
      </c>
      <c r="F174" s="15" t="s">
        <v>67</v>
      </c>
      <c r="G174" s="15" t="s">
        <v>74</v>
      </c>
      <c r="H174" s="15" t="s">
        <v>71</v>
      </c>
      <c r="I174" s="16">
        <v>221047</v>
      </c>
      <c r="J174" s="16">
        <v>192473</v>
      </c>
      <c r="K174" s="16">
        <v>214807</v>
      </c>
      <c r="L174" s="17">
        <v>1341.4</v>
      </c>
      <c r="M174" s="17">
        <v>86.2</v>
      </c>
      <c r="N174" s="17">
        <f t="shared" si="6"/>
        <v>1255.2</v>
      </c>
      <c r="O174" s="17">
        <v>1005.4</v>
      </c>
      <c r="P174" s="17">
        <v>1207.8</v>
      </c>
      <c r="Q174" s="17">
        <v>788.4</v>
      </c>
      <c r="R174" s="17">
        <f t="shared" si="7"/>
        <v>466.80000000000007</v>
      </c>
      <c r="S174" s="17">
        <v>638.5</v>
      </c>
      <c r="T174" s="17">
        <f t="shared" si="8"/>
        <v>366.9</v>
      </c>
    </row>
    <row r="175" spans="1:20" x14ac:dyDescent="0.35">
      <c r="A175" s="14" t="s">
        <v>62</v>
      </c>
      <c r="B175" s="15" t="s">
        <v>63</v>
      </c>
      <c r="C175" s="15" t="s">
        <v>93</v>
      </c>
      <c r="D175" s="15" t="s">
        <v>96</v>
      </c>
      <c r="E175" s="15" t="s">
        <v>89</v>
      </c>
      <c r="F175" s="15" t="s">
        <v>67</v>
      </c>
      <c r="G175" s="15" t="s">
        <v>75</v>
      </c>
      <c r="H175" s="15" t="s">
        <v>71</v>
      </c>
      <c r="I175" s="16">
        <v>164108</v>
      </c>
      <c r="J175" s="16">
        <v>144690</v>
      </c>
      <c r="K175" s="16">
        <v>158546</v>
      </c>
      <c r="L175" s="17">
        <v>951.2</v>
      </c>
      <c r="M175" s="17">
        <v>59</v>
      </c>
      <c r="N175" s="17">
        <f t="shared" si="6"/>
        <v>892.2</v>
      </c>
      <c r="O175" s="17">
        <v>731.7</v>
      </c>
      <c r="P175" s="17">
        <v>859.8</v>
      </c>
      <c r="Q175" s="17">
        <v>564.29999999999995</v>
      </c>
      <c r="R175" s="17">
        <f t="shared" si="7"/>
        <v>327.90000000000009</v>
      </c>
      <c r="S175" s="17">
        <v>473.3</v>
      </c>
      <c r="T175" s="17">
        <f t="shared" si="8"/>
        <v>258.40000000000003</v>
      </c>
    </row>
    <row r="176" spans="1:20" x14ac:dyDescent="0.35">
      <c r="A176" s="14" t="s">
        <v>62</v>
      </c>
      <c r="B176" s="15" t="s">
        <v>63</v>
      </c>
      <c r="C176" s="15" t="s">
        <v>93</v>
      </c>
      <c r="D176" s="15" t="s">
        <v>96</v>
      </c>
      <c r="E176" s="15" t="s">
        <v>89</v>
      </c>
      <c r="F176" s="15" t="s">
        <v>67</v>
      </c>
      <c r="G176" s="15" t="s">
        <v>76</v>
      </c>
      <c r="H176" s="15" t="s">
        <v>72</v>
      </c>
      <c r="I176" s="16">
        <v>28039</v>
      </c>
      <c r="J176" s="16">
        <v>23928</v>
      </c>
      <c r="K176" s="16">
        <v>27052</v>
      </c>
      <c r="L176" s="17">
        <v>285.5</v>
      </c>
      <c r="M176" s="17">
        <v>20.100000000000001</v>
      </c>
      <c r="N176" s="17">
        <f t="shared" si="6"/>
        <v>265.39999999999998</v>
      </c>
      <c r="O176" s="17">
        <v>210.6</v>
      </c>
      <c r="P176" s="17">
        <v>255.3</v>
      </c>
      <c r="Q176" s="17">
        <v>161.5</v>
      </c>
      <c r="R176" s="17">
        <f t="shared" si="7"/>
        <v>103.89999999999998</v>
      </c>
      <c r="S176" s="17">
        <v>129.69999999999999</v>
      </c>
      <c r="T176" s="17">
        <f t="shared" si="8"/>
        <v>80.900000000000006</v>
      </c>
    </row>
    <row r="177" spans="1:20" x14ac:dyDescent="0.35">
      <c r="A177" s="14" t="s">
        <v>62</v>
      </c>
      <c r="B177" s="15" t="s">
        <v>63</v>
      </c>
      <c r="C177" s="15" t="s">
        <v>93</v>
      </c>
      <c r="D177" s="15" t="s">
        <v>96</v>
      </c>
      <c r="E177" s="15" t="s">
        <v>89</v>
      </c>
      <c r="F177" s="15" t="s">
        <v>79</v>
      </c>
      <c r="G177" s="15" t="s">
        <v>95</v>
      </c>
      <c r="H177" s="15" t="s">
        <v>71</v>
      </c>
      <c r="I177" s="16">
        <v>152330</v>
      </c>
      <c r="J177" s="16">
        <v>131296</v>
      </c>
      <c r="K177" s="16">
        <v>147831</v>
      </c>
      <c r="L177" s="17">
        <v>565.20000000000005</v>
      </c>
      <c r="M177" s="17">
        <v>39</v>
      </c>
      <c r="N177" s="17">
        <f t="shared" si="6"/>
        <v>526.20000000000005</v>
      </c>
      <c r="O177" s="17">
        <v>418.2</v>
      </c>
      <c r="P177" s="17">
        <v>500.6</v>
      </c>
      <c r="Q177" s="17">
        <v>322</v>
      </c>
      <c r="R177" s="17">
        <f t="shared" si="7"/>
        <v>204.20000000000005</v>
      </c>
      <c r="S177" s="17">
        <v>261.39999999999998</v>
      </c>
      <c r="T177" s="17">
        <f t="shared" si="8"/>
        <v>156.80000000000001</v>
      </c>
    </row>
    <row r="178" spans="1:20" x14ac:dyDescent="0.35">
      <c r="A178" s="14" t="s">
        <v>62</v>
      </c>
      <c r="B178" s="15" t="s">
        <v>63</v>
      </c>
      <c r="C178" s="15" t="s">
        <v>93</v>
      </c>
      <c r="D178" s="15" t="s">
        <v>96</v>
      </c>
      <c r="E178" s="15" t="s">
        <v>89</v>
      </c>
      <c r="F178" s="15" t="s">
        <v>81</v>
      </c>
      <c r="G178" s="15" t="s">
        <v>82</v>
      </c>
      <c r="H178" s="15" t="s">
        <v>71</v>
      </c>
      <c r="I178" s="16">
        <v>54996</v>
      </c>
      <c r="J178" s="16">
        <v>47184</v>
      </c>
      <c r="K178" s="16">
        <v>53080</v>
      </c>
      <c r="L178" s="17">
        <v>443.8</v>
      </c>
      <c r="M178" s="17">
        <v>29</v>
      </c>
      <c r="N178" s="17">
        <f t="shared" si="6"/>
        <v>414.8</v>
      </c>
      <c r="O178" s="17">
        <v>331.4</v>
      </c>
      <c r="P178" s="17">
        <v>394.9</v>
      </c>
      <c r="Q178" s="17">
        <v>252.8</v>
      </c>
      <c r="R178" s="17">
        <f t="shared" si="7"/>
        <v>162</v>
      </c>
      <c r="S178" s="17">
        <v>204.5</v>
      </c>
      <c r="T178" s="17">
        <f t="shared" si="8"/>
        <v>126.89999999999998</v>
      </c>
    </row>
    <row r="179" spans="1:20" x14ac:dyDescent="0.35">
      <c r="A179" s="14" t="s">
        <v>62</v>
      </c>
      <c r="B179" s="15" t="s">
        <v>63</v>
      </c>
      <c r="C179" s="15" t="s">
        <v>93</v>
      </c>
      <c r="D179" s="15" t="s">
        <v>96</v>
      </c>
      <c r="E179" s="15" t="s">
        <v>89</v>
      </c>
      <c r="F179" s="15" t="s">
        <v>83</v>
      </c>
      <c r="G179" s="15" t="s">
        <v>84</v>
      </c>
      <c r="H179" s="15" t="s">
        <v>72</v>
      </c>
      <c r="I179" s="16">
        <v>20428</v>
      </c>
      <c r="J179" s="16">
        <v>15649</v>
      </c>
      <c r="K179" s="16">
        <v>19857</v>
      </c>
      <c r="L179" s="17">
        <v>522.6</v>
      </c>
      <c r="M179" s="17">
        <v>35.6</v>
      </c>
      <c r="N179" s="17">
        <f t="shared" si="6"/>
        <v>487</v>
      </c>
      <c r="O179" s="17">
        <v>343.9</v>
      </c>
      <c r="P179" s="17">
        <v>470.1</v>
      </c>
      <c r="Q179" s="17">
        <v>276.5</v>
      </c>
      <c r="R179" s="17">
        <f t="shared" si="7"/>
        <v>210.5</v>
      </c>
      <c r="S179" s="17">
        <v>199.6</v>
      </c>
      <c r="T179" s="17">
        <f t="shared" si="8"/>
        <v>144.29999999999998</v>
      </c>
    </row>
    <row r="180" spans="1:20" x14ac:dyDescent="0.35">
      <c r="A180" s="14" t="s">
        <v>62</v>
      </c>
      <c r="B180" s="15" t="s">
        <v>63</v>
      </c>
      <c r="C180" s="15" t="s">
        <v>93</v>
      </c>
      <c r="D180" s="15" t="s">
        <v>96</v>
      </c>
      <c r="E180" s="15" t="s">
        <v>90</v>
      </c>
      <c r="F180" s="15" t="s">
        <v>67</v>
      </c>
      <c r="G180" s="15" t="s">
        <v>68</v>
      </c>
      <c r="H180" s="15" t="s">
        <v>69</v>
      </c>
      <c r="I180" s="16">
        <v>232860</v>
      </c>
      <c r="J180" s="16">
        <v>207166</v>
      </c>
      <c r="K180" s="16">
        <v>224700</v>
      </c>
      <c r="L180" s="17">
        <v>859.6</v>
      </c>
      <c r="M180" s="17">
        <v>87.4</v>
      </c>
      <c r="N180" s="17">
        <f t="shared" si="6"/>
        <v>772.2</v>
      </c>
      <c r="O180" s="17">
        <v>639.6</v>
      </c>
      <c r="P180" s="17">
        <v>740.3</v>
      </c>
      <c r="Q180" s="17">
        <v>425.3</v>
      </c>
      <c r="R180" s="17">
        <f t="shared" si="7"/>
        <v>346.90000000000003</v>
      </c>
      <c r="S180" s="17">
        <v>357.9</v>
      </c>
      <c r="T180" s="17">
        <f t="shared" si="8"/>
        <v>281.70000000000005</v>
      </c>
    </row>
    <row r="181" spans="1:20" x14ac:dyDescent="0.35">
      <c r="A181" s="14" t="s">
        <v>62</v>
      </c>
      <c r="B181" s="15" t="s">
        <v>63</v>
      </c>
      <c r="C181" s="15" t="s">
        <v>93</v>
      </c>
      <c r="D181" s="15" t="s">
        <v>96</v>
      </c>
      <c r="E181" s="15" t="s">
        <v>90</v>
      </c>
      <c r="F181" s="15" t="s">
        <v>67</v>
      </c>
      <c r="G181" s="15" t="s">
        <v>68</v>
      </c>
      <c r="H181" s="15" t="s">
        <v>70</v>
      </c>
      <c r="I181" s="16">
        <v>195843</v>
      </c>
      <c r="J181" s="16">
        <v>173829</v>
      </c>
      <c r="K181" s="16">
        <v>188866</v>
      </c>
      <c r="L181" s="17">
        <v>876.6</v>
      </c>
      <c r="M181" s="17">
        <v>96.4</v>
      </c>
      <c r="N181" s="17">
        <f t="shared" si="6"/>
        <v>780.2</v>
      </c>
      <c r="O181" s="17">
        <v>643.1</v>
      </c>
      <c r="P181" s="17">
        <v>744.1</v>
      </c>
      <c r="Q181" s="17">
        <v>441.5</v>
      </c>
      <c r="R181" s="17">
        <f t="shared" si="7"/>
        <v>338.70000000000005</v>
      </c>
      <c r="S181" s="17">
        <v>373.1</v>
      </c>
      <c r="T181" s="17">
        <f t="shared" si="8"/>
        <v>270</v>
      </c>
    </row>
    <row r="182" spans="1:20" x14ac:dyDescent="0.35">
      <c r="A182" s="14" t="s">
        <v>62</v>
      </c>
      <c r="B182" s="15" t="s">
        <v>63</v>
      </c>
      <c r="C182" s="15" t="s">
        <v>93</v>
      </c>
      <c r="D182" s="15" t="s">
        <v>96</v>
      </c>
      <c r="E182" s="15" t="s">
        <v>90</v>
      </c>
      <c r="F182" s="15" t="s">
        <v>67</v>
      </c>
      <c r="G182" s="15" t="s">
        <v>68</v>
      </c>
      <c r="H182" s="15" t="s">
        <v>71</v>
      </c>
      <c r="I182" s="16">
        <v>303695</v>
      </c>
      <c r="J182" s="16">
        <v>272623</v>
      </c>
      <c r="K182" s="16">
        <v>295009</v>
      </c>
      <c r="L182" s="17">
        <v>1697.6</v>
      </c>
      <c r="M182" s="17">
        <v>202.2</v>
      </c>
      <c r="N182" s="17">
        <f t="shared" si="6"/>
        <v>1495.3999999999999</v>
      </c>
      <c r="O182" s="17">
        <v>1247.8</v>
      </c>
      <c r="P182" s="17">
        <v>1433.2</v>
      </c>
      <c r="Q182" s="17">
        <v>927.7</v>
      </c>
      <c r="R182" s="17">
        <f t="shared" si="7"/>
        <v>567.69999999999982</v>
      </c>
      <c r="S182" s="17">
        <v>779.5</v>
      </c>
      <c r="T182" s="17">
        <f t="shared" si="8"/>
        <v>468.29999999999995</v>
      </c>
    </row>
    <row r="183" spans="1:20" x14ac:dyDescent="0.35">
      <c r="A183" s="14" t="s">
        <v>62</v>
      </c>
      <c r="B183" s="15" t="s">
        <v>63</v>
      </c>
      <c r="C183" s="15" t="s">
        <v>93</v>
      </c>
      <c r="D183" s="15" t="s">
        <v>96</v>
      </c>
      <c r="E183" s="15" t="s">
        <v>90</v>
      </c>
      <c r="F183" s="15" t="s">
        <v>67</v>
      </c>
      <c r="G183" s="15" t="s">
        <v>68</v>
      </c>
      <c r="H183" s="15" t="s">
        <v>72</v>
      </c>
      <c r="I183" s="16">
        <v>78879</v>
      </c>
      <c r="J183" s="16">
        <v>69069</v>
      </c>
      <c r="K183" s="16">
        <v>76180</v>
      </c>
      <c r="L183" s="17">
        <v>598.70000000000005</v>
      </c>
      <c r="M183" s="17">
        <v>62.4</v>
      </c>
      <c r="N183" s="17">
        <f t="shared" si="6"/>
        <v>536.30000000000007</v>
      </c>
      <c r="O183" s="17">
        <v>433.6</v>
      </c>
      <c r="P183" s="17">
        <v>509.5</v>
      </c>
      <c r="Q183" s="17">
        <v>346.8</v>
      </c>
      <c r="R183" s="17">
        <f t="shared" si="7"/>
        <v>189.50000000000006</v>
      </c>
      <c r="S183" s="17">
        <v>285.10000000000002</v>
      </c>
      <c r="T183" s="17">
        <f t="shared" si="8"/>
        <v>148.5</v>
      </c>
    </row>
    <row r="184" spans="1:20" x14ac:dyDescent="0.35">
      <c r="A184" s="14" t="s">
        <v>62</v>
      </c>
      <c r="B184" s="15" t="s">
        <v>63</v>
      </c>
      <c r="C184" s="15" t="s">
        <v>93</v>
      </c>
      <c r="D184" s="15" t="s">
        <v>96</v>
      </c>
      <c r="E184" s="15" t="s">
        <v>90</v>
      </c>
      <c r="F184" s="15" t="s">
        <v>67</v>
      </c>
      <c r="G184" s="15" t="s">
        <v>73</v>
      </c>
      <c r="H184" s="15" t="s">
        <v>71</v>
      </c>
      <c r="I184" s="16">
        <v>65811</v>
      </c>
      <c r="J184" s="16">
        <v>54119</v>
      </c>
      <c r="K184" s="16">
        <v>63339</v>
      </c>
      <c r="L184" s="17">
        <v>380.9</v>
      </c>
      <c r="M184" s="17">
        <v>43.3</v>
      </c>
      <c r="N184" s="17">
        <f t="shared" si="6"/>
        <v>337.59999999999997</v>
      </c>
      <c r="O184" s="17">
        <v>258.10000000000002</v>
      </c>
      <c r="P184" s="17">
        <v>320</v>
      </c>
      <c r="Q184" s="17">
        <v>211.7</v>
      </c>
      <c r="R184" s="17">
        <f t="shared" si="7"/>
        <v>125.89999999999998</v>
      </c>
      <c r="S184" s="17">
        <v>163.5</v>
      </c>
      <c r="T184" s="17">
        <f t="shared" si="8"/>
        <v>94.600000000000023</v>
      </c>
    </row>
    <row r="185" spans="1:20" x14ac:dyDescent="0.35">
      <c r="A185" s="14" t="s">
        <v>62</v>
      </c>
      <c r="B185" s="15" t="s">
        <v>63</v>
      </c>
      <c r="C185" s="15" t="s">
        <v>93</v>
      </c>
      <c r="D185" s="15" t="s">
        <v>96</v>
      </c>
      <c r="E185" s="15" t="s">
        <v>90</v>
      </c>
      <c r="F185" s="15" t="s">
        <v>67</v>
      </c>
      <c r="G185" s="15" t="s">
        <v>73</v>
      </c>
      <c r="H185" s="15" t="s">
        <v>72</v>
      </c>
      <c r="I185" s="16">
        <v>24064</v>
      </c>
      <c r="J185" s="16">
        <v>19286</v>
      </c>
      <c r="K185" s="16">
        <v>23408</v>
      </c>
      <c r="L185" s="17">
        <v>189.3</v>
      </c>
      <c r="M185" s="17">
        <v>22.3</v>
      </c>
      <c r="N185" s="17">
        <f t="shared" si="6"/>
        <v>167</v>
      </c>
      <c r="O185" s="17">
        <v>124.9</v>
      </c>
      <c r="P185" s="17">
        <v>161</v>
      </c>
      <c r="Q185" s="17">
        <v>104.5</v>
      </c>
      <c r="R185" s="17">
        <f t="shared" si="7"/>
        <v>62.5</v>
      </c>
      <c r="S185" s="17">
        <v>79.5</v>
      </c>
      <c r="T185" s="17">
        <f t="shared" si="8"/>
        <v>45.400000000000006</v>
      </c>
    </row>
    <row r="186" spans="1:20" x14ac:dyDescent="0.35">
      <c r="A186" s="14" t="s">
        <v>62</v>
      </c>
      <c r="B186" s="15" t="s">
        <v>63</v>
      </c>
      <c r="C186" s="15" t="s">
        <v>93</v>
      </c>
      <c r="D186" s="15" t="s">
        <v>96</v>
      </c>
      <c r="E186" s="15" t="s">
        <v>90</v>
      </c>
      <c r="F186" s="15" t="s">
        <v>67</v>
      </c>
      <c r="G186" s="15" t="s">
        <v>74</v>
      </c>
      <c r="H186" s="15" t="s">
        <v>70</v>
      </c>
      <c r="I186" s="16">
        <v>80925</v>
      </c>
      <c r="J186" s="16">
        <v>70392</v>
      </c>
      <c r="K186" s="16">
        <v>78625</v>
      </c>
      <c r="L186" s="17">
        <v>356.9</v>
      </c>
      <c r="M186" s="17">
        <v>39.4</v>
      </c>
      <c r="N186" s="17">
        <f t="shared" si="6"/>
        <v>317.5</v>
      </c>
      <c r="O186" s="17">
        <v>258</v>
      </c>
      <c r="P186" s="17">
        <v>303.2</v>
      </c>
      <c r="Q186" s="17">
        <v>183.4</v>
      </c>
      <c r="R186" s="17">
        <f t="shared" si="7"/>
        <v>134.1</v>
      </c>
      <c r="S186" s="17">
        <v>151</v>
      </c>
      <c r="T186" s="17">
        <f t="shared" si="8"/>
        <v>107</v>
      </c>
    </row>
    <row r="187" spans="1:20" x14ac:dyDescent="0.35">
      <c r="A187" s="14" t="s">
        <v>62</v>
      </c>
      <c r="B187" s="15" t="s">
        <v>63</v>
      </c>
      <c r="C187" s="15" t="s">
        <v>93</v>
      </c>
      <c r="D187" s="15" t="s">
        <v>96</v>
      </c>
      <c r="E187" s="15" t="s">
        <v>90</v>
      </c>
      <c r="F187" s="15" t="s">
        <v>67</v>
      </c>
      <c r="G187" s="15" t="s">
        <v>74</v>
      </c>
      <c r="H187" s="15" t="s">
        <v>71</v>
      </c>
      <c r="I187" s="16">
        <v>106256</v>
      </c>
      <c r="J187" s="16">
        <v>95256</v>
      </c>
      <c r="K187" s="16">
        <v>103303</v>
      </c>
      <c r="L187" s="17">
        <v>577.20000000000005</v>
      </c>
      <c r="M187" s="17">
        <v>68.5</v>
      </c>
      <c r="N187" s="17">
        <f t="shared" si="6"/>
        <v>508.70000000000005</v>
      </c>
      <c r="O187" s="17">
        <v>422.4</v>
      </c>
      <c r="P187" s="17">
        <v>485.4</v>
      </c>
      <c r="Q187" s="17">
        <v>322.2</v>
      </c>
      <c r="R187" s="17">
        <f t="shared" si="7"/>
        <v>186.50000000000006</v>
      </c>
      <c r="S187" s="17">
        <v>270.3</v>
      </c>
      <c r="T187" s="17">
        <f t="shared" si="8"/>
        <v>152.09999999999997</v>
      </c>
    </row>
    <row r="188" spans="1:20" x14ac:dyDescent="0.35">
      <c r="A188" s="14" t="s">
        <v>62</v>
      </c>
      <c r="B188" s="15" t="s">
        <v>63</v>
      </c>
      <c r="C188" s="15" t="s">
        <v>93</v>
      </c>
      <c r="D188" s="15" t="s">
        <v>96</v>
      </c>
      <c r="E188" s="15" t="s">
        <v>90</v>
      </c>
      <c r="F188" s="15" t="s">
        <v>67</v>
      </c>
      <c r="G188" s="15" t="s">
        <v>75</v>
      </c>
      <c r="H188" s="15" t="s">
        <v>71</v>
      </c>
      <c r="I188" s="16">
        <v>88825</v>
      </c>
      <c r="J188" s="16">
        <v>79201</v>
      </c>
      <c r="K188" s="16">
        <v>86288</v>
      </c>
      <c r="L188" s="17">
        <v>470</v>
      </c>
      <c r="M188" s="17">
        <v>49.6</v>
      </c>
      <c r="N188" s="17">
        <f t="shared" si="6"/>
        <v>420.4</v>
      </c>
      <c r="O188" s="17">
        <v>345.2</v>
      </c>
      <c r="P188" s="17">
        <v>399.5</v>
      </c>
      <c r="Q188" s="17">
        <v>264.10000000000002</v>
      </c>
      <c r="R188" s="17">
        <f t="shared" si="7"/>
        <v>156.29999999999995</v>
      </c>
      <c r="S188" s="17">
        <v>218.8</v>
      </c>
      <c r="T188" s="17">
        <f t="shared" si="8"/>
        <v>126.39999999999998</v>
      </c>
    </row>
    <row r="189" spans="1:20" x14ac:dyDescent="0.35">
      <c r="A189" s="14" t="s">
        <v>62</v>
      </c>
      <c r="B189" s="15" t="s">
        <v>63</v>
      </c>
      <c r="C189" s="15" t="s">
        <v>93</v>
      </c>
      <c r="D189" s="15" t="s">
        <v>96</v>
      </c>
      <c r="E189" s="15" t="s">
        <v>90</v>
      </c>
      <c r="F189" s="15" t="s">
        <v>67</v>
      </c>
      <c r="G189" s="15" t="s">
        <v>76</v>
      </c>
      <c r="H189" s="15" t="s">
        <v>72</v>
      </c>
      <c r="I189" s="16">
        <v>19308</v>
      </c>
      <c r="J189" s="16">
        <v>16454</v>
      </c>
      <c r="K189" s="16">
        <v>18675</v>
      </c>
      <c r="L189" s="17">
        <v>173.3</v>
      </c>
      <c r="M189" s="17">
        <v>18.7</v>
      </c>
      <c r="N189" s="17">
        <f t="shared" si="6"/>
        <v>154.60000000000002</v>
      </c>
      <c r="O189" s="17">
        <v>122.9</v>
      </c>
      <c r="P189" s="17">
        <v>148.80000000000001</v>
      </c>
      <c r="Q189" s="17">
        <v>94</v>
      </c>
      <c r="R189" s="17">
        <f t="shared" si="7"/>
        <v>60.600000000000023</v>
      </c>
      <c r="S189" s="17">
        <v>76.099999999999994</v>
      </c>
      <c r="T189" s="17">
        <f t="shared" si="8"/>
        <v>46.800000000000011</v>
      </c>
    </row>
    <row r="190" spans="1:20" x14ac:dyDescent="0.35">
      <c r="A190" s="14" t="s">
        <v>62</v>
      </c>
      <c r="B190" s="15" t="s">
        <v>63</v>
      </c>
      <c r="C190" s="15" t="s">
        <v>93</v>
      </c>
      <c r="D190" s="15" t="s">
        <v>96</v>
      </c>
      <c r="E190" s="15" t="s">
        <v>90</v>
      </c>
      <c r="F190" s="15" t="s">
        <v>79</v>
      </c>
      <c r="G190" s="15" t="s">
        <v>95</v>
      </c>
      <c r="H190" s="15" t="s">
        <v>71</v>
      </c>
      <c r="I190" s="16">
        <v>82252</v>
      </c>
      <c r="J190" s="16">
        <v>70976</v>
      </c>
      <c r="K190" s="16">
        <v>79880</v>
      </c>
      <c r="L190" s="17">
        <v>269.8</v>
      </c>
      <c r="M190" s="17">
        <v>27.2</v>
      </c>
      <c r="N190" s="17">
        <f t="shared" si="6"/>
        <v>242.60000000000002</v>
      </c>
      <c r="O190" s="17">
        <v>193.3</v>
      </c>
      <c r="P190" s="17">
        <v>234.1</v>
      </c>
      <c r="Q190" s="17">
        <v>146.80000000000001</v>
      </c>
      <c r="R190" s="17">
        <f t="shared" si="7"/>
        <v>95.800000000000011</v>
      </c>
      <c r="S190" s="17">
        <v>118.7</v>
      </c>
      <c r="T190" s="17">
        <f t="shared" si="8"/>
        <v>74.600000000000009</v>
      </c>
    </row>
    <row r="191" spans="1:20" x14ac:dyDescent="0.35">
      <c r="A191" s="14" t="s">
        <v>62</v>
      </c>
      <c r="B191" s="15" t="s">
        <v>63</v>
      </c>
      <c r="C191" s="15" t="s">
        <v>93</v>
      </c>
      <c r="D191" s="15" t="s">
        <v>96</v>
      </c>
      <c r="E191" s="15" t="s">
        <v>90</v>
      </c>
      <c r="F191" s="15" t="s">
        <v>81</v>
      </c>
      <c r="G191" s="15" t="s">
        <v>82</v>
      </c>
      <c r="H191" s="15" t="s">
        <v>71</v>
      </c>
      <c r="I191" s="16">
        <v>26420</v>
      </c>
      <c r="J191" s="16">
        <v>22357</v>
      </c>
      <c r="K191" s="16">
        <v>25472</v>
      </c>
      <c r="L191" s="17">
        <v>198.8</v>
      </c>
      <c r="M191" s="17">
        <v>22.6</v>
      </c>
      <c r="N191" s="17">
        <f t="shared" si="6"/>
        <v>176.20000000000002</v>
      </c>
      <c r="O191" s="17">
        <v>139</v>
      </c>
      <c r="P191" s="17">
        <v>169.1</v>
      </c>
      <c r="Q191" s="17">
        <v>110.2</v>
      </c>
      <c r="R191" s="17">
        <f t="shared" si="7"/>
        <v>66.000000000000014</v>
      </c>
      <c r="S191" s="17">
        <v>88.5</v>
      </c>
      <c r="T191" s="17">
        <f t="shared" si="8"/>
        <v>50.5</v>
      </c>
    </row>
    <row r="192" spans="1:20" x14ac:dyDescent="0.35">
      <c r="A192" s="14" t="s">
        <v>62</v>
      </c>
      <c r="B192" s="15" t="s">
        <v>63</v>
      </c>
      <c r="C192" s="15" t="s">
        <v>93</v>
      </c>
      <c r="D192" s="15" t="s">
        <v>96</v>
      </c>
      <c r="E192" s="15" t="s">
        <v>90</v>
      </c>
      <c r="F192" s="15" t="s">
        <v>83</v>
      </c>
      <c r="G192" s="15" t="s">
        <v>84</v>
      </c>
      <c r="H192" s="15" t="s">
        <v>72</v>
      </c>
      <c r="I192" s="16">
        <v>16650</v>
      </c>
      <c r="J192" s="16">
        <v>12775</v>
      </c>
      <c r="K192" s="16">
        <v>16087</v>
      </c>
      <c r="L192" s="17">
        <v>389</v>
      </c>
      <c r="M192" s="17">
        <v>42.4</v>
      </c>
      <c r="N192" s="17">
        <f t="shared" si="6"/>
        <v>346.6</v>
      </c>
      <c r="O192" s="17">
        <v>247.3</v>
      </c>
      <c r="P192" s="17">
        <v>329.1</v>
      </c>
      <c r="Q192" s="17">
        <v>196.6</v>
      </c>
      <c r="R192" s="17">
        <f t="shared" si="7"/>
        <v>150.00000000000003</v>
      </c>
      <c r="S192" s="17">
        <v>141.4</v>
      </c>
      <c r="T192" s="17">
        <f t="shared" si="8"/>
        <v>105.9</v>
      </c>
    </row>
    <row r="193" spans="1:20" x14ac:dyDescent="0.35">
      <c r="A193" s="14" t="s">
        <v>62</v>
      </c>
      <c r="B193" s="15" t="s">
        <v>63</v>
      </c>
      <c r="C193" s="15" t="s">
        <v>93</v>
      </c>
      <c r="D193" s="15" t="s">
        <v>96</v>
      </c>
      <c r="E193" s="15" t="s">
        <v>91</v>
      </c>
      <c r="F193" s="15" t="s">
        <v>67</v>
      </c>
      <c r="G193" s="15" t="s">
        <v>68</v>
      </c>
      <c r="H193" s="15" t="s">
        <v>69</v>
      </c>
      <c r="I193" s="16">
        <v>160502</v>
      </c>
      <c r="J193" s="16">
        <v>140213</v>
      </c>
      <c r="K193" s="16">
        <v>154914</v>
      </c>
      <c r="L193" s="17">
        <v>716.2</v>
      </c>
      <c r="M193" s="17">
        <v>31.2</v>
      </c>
      <c r="N193" s="17">
        <f t="shared" si="6"/>
        <v>685</v>
      </c>
      <c r="O193" s="17">
        <v>552.20000000000005</v>
      </c>
      <c r="P193" s="17">
        <v>657.4</v>
      </c>
      <c r="Q193" s="17">
        <v>386.3</v>
      </c>
      <c r="R193" s="17">
        <f t="shared" si="7"/>
        <v>298.7</v>
      </c>
      <c r="S193" s="17">
        <v>313.89999999999998</v>
      </c>
      <c r="T193" s="17">
        <f t="shared" si="8"/>
        <v>238.30000000000007</v>
      </c>
    </row>
    <row r="194" spans="1:20" x14ac:dyDescent="0.35">
      <c r="A194" s="14" t="s">
        <v>62</v>
      </c>
      <c r="B194" s="15" t="s">
        <v>63</v>
      </c>
      <c r="C194" s="15" t="s">
        <v>93</v>
      </c>
      <c r="D194" s="15" t="s">
        <v>96</v>
      </c>
      <c r="E194" s="15" t="s">
        <v>91</v>
      </c>
      <c r="F194" s="15" t="s">
        <v>67</v>
      </c>
      <c r="G194" s="15" t="s">
        <v>68</v>
      </c>
      <c r="H194" s="15" t="s">
        <v>70</v>
      </c>
      <c r="I194" s="16">
        <v>46460</v>
      </c>
      <c r="J194" s="16">
        <v>38787</v>
      </c>
      <c r="K194" s="16">
        <v>44589</v>
      </c>
      <c r="L194" s="17">
        <v>241</v>
      </c>
      <c r="M194" s="17">
        <v>14.2</v>
      </c>
      <c r="N194" s="17">
        <f t="shared" si="6"/>
        <v>226.8</v>
      </c>
      <c r="O194" s="17">
        <v>174.8</v>
      </c>
      <c r="P194" s="17">
        <v>217.1</v>
      </c>
      <c r="Q194" s="17">
        <v>129.30000000000001</v>
      </c>
      <c r="R194" s="17">
        <f t="shared" si="7"/>
        <v>97.5</v>
      </c>
      <c r="S194" s="17">
        <v>101.5</v>
      </c>
      <c r="T194" s="17">
        <f t="shared" si="8"/>
        <v>73.300000000000011</v>
      </c>
    </row>
    <row r="195" spans="1:20" x14ac:dyDescent="0.35">
      <c r="A195" s="14" t="s">
        <v>62</v>
      </c>
      <c r="B195" s="15" t="s">
        <v>63</v>
      </c>
      <c r="C195" s="15" t="s">
        <v>93</v>
      </c>
      <c r="D195" s="15" t="s">
        <v>96</v>
      </c>
      <c r="E195" s="15" t="s">
        <v>91</v>
      </c>
      <c r="F195" s="15" t="s">
        <v>67</v>
      </c>
      <c r="G195" s="15" t="s">
        <v>68</v>
      </c>
      <c r="H195" s="15" t="s">
        <v>71</v>
      </c>
      <c r="I195" s="16">
        <v>86849</v>
      </c>
      <c r="J195" s="16">
        <v>73715</v>
      </c>
      <c r="K195" s="16">
        <v>83466</v>
      </c>
      <c r="L195" s="17">
        <v>580.9</v>
      </c>
      <c r="M195" s="17">
        <v>30.2</v>
      </c>
      <c r="N195" s="17">
        <f t="shared" si="6"/>
        <v>550.69999999999993</v>
      </c>
      <c r="O195" s="17">
        <v>432.2</v>
      </c>
      <c r="P195" s="17">
        <v>529.9</v>
      </c>
      <c r="Q195" s="17">
        <v>342.3</v>
      </c>
      <c r="R195" s="17">
        <f t="shared" si="7"/>
        <v>208.39999999999992</v>
      </c>
      <c r="S195" s="17">
        <v>272.3</v>
      </c>
      <c r="T195" s="17">
        <f t="shared" si="8"/>
        <v>159.89999999999998</v>
      </c>
    </row>
    <row r="196" spans="1:20" x14ac:dyDescent="0.35">
      <c r="A196" s="14" t="s">
        <v>62</v>
      </c>
      <c r="B196" s="15" t="s">
        <v>63</v>
      </c>
      <c r="C196" s="15" t="s">
        <v>93</v>
      </c>
      <c r="D196" s="15" t="s">
        <v>96</v>
      </c>
      <c r="E196" s="15" t="s">
        <v>91</v>
      </c>
      <c r="F196" s="15" t="s">
        <v>67</v>
      </c>
      <c r="G196" s="15" t="s">
        <v>68</v>
      </c>
      <c r="H196" s="15" t="s">
        <v>72</v>
      </c>
      <c r="I196" s="16">
        <v>41766</v>
      </c>
      <c r="J196" s="16">
        <v>35141</v>
      </c>
      <c r="K196" s="16">
        <v>40342</v>
      </c>
      <c r="L196" s="17">
        <v>379.7</v>
      </c>
      <c r="M196" s="17">
        <v>17.100000000000001</v>
      </c>
      <c r="N196" s="17">
        <f t="shared" ref="N196:N259" si="9">L196-M196</f>
        <v>362.59999999999997</v>
      </c>
      <c r="O196" s="17">
        <v>282.2</v>
      </c>
      <c r="P196" s="17">
        <v>345.5</v>
      </c>
      <c r="Q196" s="17">
        <v>227.8</v>
      </c>
      <c r="R196" s="17">
        <f t="shared" ref="R196:R259" si="10">N196-Q196</f>
        <v>134.79999999999995</v>
      </c>
      <c r="S196" s="17">
        <v>179.7</v>
      </c>
      <c r="T196" s="17">
        <f t="shared" ref="T196:T259" si="11">O196-S196</f>
        <v>102.5</v>
      </c>
    </row>
    <row r="197" spans="1:20" x14ac:dyDescent="0.35">
      <c r="A197" s="14" t="s">
        <v>62</v>
      </c>
      <c r="B197" s="15" t="s">
        <v>63</v>
      </c>
      <c r="C197" s="15" t="s">
        <v>93</v>
      </c>
      <c r="D197" s="15" t="s">
        <v>96</v>
      </c>
      <c r="E197" s="15" t="s">
        <v>91</v>
      </c>
      <c r="F197" s="15" t="s">
        <v>67</v>
      </c>
      <c r="G197" s="15" t="s">
        <v>73</v>
      </c>
      <c r="H197" s="15" t="s">
        <v>71</v>
      </c>
      <c r="I197" s="16">
        <v>22381</v>
      </c>
      <c r="J197" s="16">
        <v>17783</v>
      </c>
      <c r="K197" s="16">
        <v>21473</v>
      </c>
      <c r="L197" s="17">
        <v>145.4</v>
      </c>
      <c r="M197" s="17">
        <v>6.9</v>
      </c>
      <c r="N197" s="17">
        <f t="shared" si="9"/>
        <v>138.5</v>
      </c>
      <c r="O197" s="17">
        <v>102.1</v>
      </c>
      <c r="P197" s="17">
        <v>132.19999999999999</v>
      </c>
      <c r="Q197" s="17">
        <v>87</v>
      </c>
      <c r="R197" s="17">
        <f t="shared" si="10"/>
        <v>51.5</v>
      </c>
      <c r="S197" s="17">
        <v>65.5</v>
      </c>
      <c r="T197" s="17">
        <f t="shared" si="11"/>
        <v>36.599999999999994</v>
      </c>
    </row>
    <row r="198" spans="1:20" x14ac:dyDescent="0.35">
      <c r="A198" s="14" t="s">
        <v>62</v>
      </c>
      <c r="B198" s="15" t="s">
        <v>63</v>
      </c>
      <c r="C198" s="15" t="s">
        <v>93</v>
      </c>
      <c r="D198" s="15" t="s">
        <v>96</v>
      </c>
      <c r="E198" s="15" t="s">
        <v>91</v>
      </c>
      <c r="F198" s="15" t="s">
        <v>67</v>
      </c>
      <c r="G198" s="15" t="s">
        <v>73</v>
      </c>
      <c r="H198" s="15" t="s">
        <v>72</v>
      </c>
      <c r="I198" s="16">
        <v>16139</v>
      </c>
      <c r="J198" s="16">
        <v>12446</v>
      </c>
      <c r="K198" s="16">
        <v>15605</v>
      </c>
      <c r="L198" s="17">
        <v>148.80000000000001</v>
      </c>
      <c r="M198" s="17">
        <v>8.1999999999999993</v>
      </c>
      <c r="N198" s="17">
        <f t="shared" si="9"/>
        <v>140.60000000000002</v>
      </c>
      <c r="O198" s="17">
        <v>100.9</v>
      </c>
      <c r="P198" s="17">
        <v>135.80000000000001</v>
      </c>
      <c r="Q198" s="17">
        <v>90.8</v>
      </c>
      <c r="R198" s="17">
        <f t="shared" si="10"/>
        <v>49.800000000000026</v>
      </c>
      <c r="S198" s="17">
        <v>66.5</v>
      </c>
      <c r="T198" s="17">
        <f t="shared" si="11"/>
        <v>34.400000000000006</v>
      </c>
    </row>
    <row r="199" spans="1:20" x14ac:dyDescent="0.35">
      <c r="A199" s="14" t="s">
        <v>62</v>
      </c>
      <c r="B199" s="15" t="s">
        <v>63</v>
      </c>
      <c r="C199" s="15" t="s">
        <v>93</v>
      </c>
      <c r="D199" s="15" t="s">
        <v>96</v>
      </c>
      <c r="E199" s="15" t="s">
        <v>91</v>
      </c>
      <c r="F199" s="15" t="s">
        <v>67</v>
      </c>
      <c r="G199" s="15" t="s">
        <v>74</v>
      </c>
      <c r="H199" s="15" t="s">
        <v>70</v>
      </c>
      <c r="I199" s="16">
        <v>21323</v>
      </c>
      <c r="J199" s="16">
        <v>17686</v>
      </c>
      <c r="K199" s="16">
        <v>20720</v>
      </c>
      <c r="L199" s="17">
        <v>106.8</v>
      </c>
      <c r="M199" s="17">
        <v>5.9</v>
      </c>
      <c r="N199" s="17">
        <f t="shared" si="9"/>
        <v>100.89999999999999</v>
      </c>
      <c r="O199" s="17">
        <v>76.8</v>
      </c>
      <c r="P199" s="17">
        <v>95.7</v>
      </c>
      <c r="Q199" s="17">
        <v>56.9</v>
      </c>
      <c r="R199" s="17">
        <f t="shared" si="10"/>
        <v>43.999999999999993</v>
      </c>
      <c r="S199" s="17">
        <v>44</v>
      </c>
      <c r="T199" s="17">
        <f t="shared" si="11"/>
        <v>32.799999999999997</v>
      </c>
    </row>
    <row r="200" spans="1:20" x14ac:dyDescent="0.35">
      <c r="A200" s="14" t="s">
        <v>62</v>
      </c>
      <c r="B200" s="15" t="s">
        <v>63</v>
      </c>
      <c r="C200" s="15" t="s">
        <v>93</v>
      </c>
      <c r="D200" s="15" t="s">
        <v>96</v>
      </c>
      <c r="E200" s="15" t="s">
        <v>91</v>
      </c>
      <c r="F200" s="15" t="s">
        <v>67</v>
      </c>
      <c r="G200" s="15" t="s">
        <v>74</v>
      </c>
      <c r="H200" s="15" t="s">
        <v>71</v>
      </c>
      <c r="I200" s="16">
        <v>35589</v>
      </c>
      <c r="J200" s="16">
        <v>30079</v>
      </c>
      <c r="K200" s="16">
        <v>34214</v>
      </c>
      <c r="L200" s="17">
        <v>223.9</v>
      </c>
      <c r="M200" s="17">
        <v>12.8</v>
      </c>
      <c r="N200" s="17">
        <f t="shared" si="9"/>
        <v>211.1</v>
      </c>
      <c r="O200" s="17">
        <v>166.2</v>
      </c>
      <c r="P200" s="17">
        <v>201.3</v>
      </c>
      <c r="Q200" s="17">
        <v>133.1</v>
      </c>
      <c r="R200" s="17">
        <f t="shared" si="10"/>
        <v>78</v>
      </c>
      <c r="S200" s="17">
        <v>106.6</v>
      </c>
      <c r="T200" s="17">
        <f t="shared" si="11"/>
        <v>59.599999999999994</v>
      </c>
    </row>
    <row r="201" spans="1:20" x14ac:dyDescent="0.35">
      <c r="A201" s="14" t="s">
        <v>62</v>
      </c>
      <c r="B201" s="15" t="s">
        <v>63</v>
      </c>
      <c r="C201" s="15" t="s">
        <v>93</v>
      </c>
      <c r="D201" s="15" t="s">
        <v>96</v>
      </c>
      <c r="E201" s="15" t="s">
        <v>91</v>
      </c>
      <c r="F201" s="15" t="s">
        <v>67</v>
      </c>
      <c r="G201" s="15" t="s">
        <v>75</v>
      </c>
      <c r="H201" s="15" t="s">
        <v>71</v>
      </c>
      <c r="I201" s="16">
        <v>29968</v>
      </c>
      <c r="J201" s="16">
        <v>25347</v>
      </c>
      <c r="K201" s="16">
        <v>28914</v>
      </c>
      <c r="L201" s="17">
        <v>193.2</v>
      </c>
      <c r="M201" s="17">
        <v>10.7</v>
      </c>
      <c r="N201" s="17">
        <f t="shared" si="9"/>
        <v>182.5</v>
      </c>
      <c r="O201" s="17">
        <v>142.69999999999999</v>
      </c>
      <c r="P201" s="17">
        <v>174.1</v>
      </c>
      <c r="Q201" s="17">
        <v>115.5</v>
      </c>
      <c r="R201" s="17">
        <f t="shared" si="10"/>
        <v>67</v>
      </c>
      <c r="S201" s="17">
        <v>91.3</v>
      </c>
      <c r="T201" s="17">
        <f t="shared" si="11"/>
        <v>51.399999999999991</v>
      </c>
    </row>
    <row r="202" spans="1:20" x14ac:dyDescent="0.35">
      <c r="A202" s="14" t="s">
        <v>62</v>
      </c>
      <c r="B202" s="15" t="s">
        <v>63</v>
      </c>
      <c r="C202" s="15" t="s">
        <v>93</v>
      </c>
      <c r="D202" s="15" t="s">
        <v>96</v>
      </c>
      <c r="E202" s="15" t="s">
        <v>91</v>
      </c>
      <c r="F202" s="15" t="s">
        <v>67</v>
      </c>
      <c r="G202" s="15" t="s">
        <v>76</v>
      </c>
      <c r="H202" s="15" t="s">
        <v>72</v>
      </c>
      <c r="I202" s="16">
        <v>30319</v>
      </c>
      <c r="J202" s="16">
        <v>25181</v>
      </c>
      <c r="K202" s="16">
        <v>29310</v>
      </c>
      <c r="L202" s="17">
        <v>332.3</v>
      </c>
      <c r="M202" s="17">
        <v>17.8</v>
      </c>
      <c r="N202" s="17">
        <f t="shared" si="9"/>
        <v>314.5</v>
      </c>
      <c r="O202" s="17">
        <v>242.1</v>
      </c>
      <c r="P202" s="17">
        <v>303.10000000000002</v>
      </c>
      <c r="Q202" s="17">
        <v>193.5</v>
      </c>
      <c r="R202" s="17">
        <f t="shared" si="10"/>
        <v>121</v>
      </c>
      <c r="S202" s="17">
        <v>150.19999999999999</v>
      </c>
      <c r="T202" s="17">
        <f t="shared" si="11"/>
        <v>91.9</v>
      </c>
    </row>
    <row r="203" spans="1:20" x14ac:dyDescent="0.35">
      <c r="A203" s="14" t="s">
        <v>62</v>
      </c>
      <c r="B203" s="15" t="s">
        <v>63</v>
      </c>
      <c r="C203" s="15" t="s">
        <v>93</v>
      </c>
      <c r="D203" s="15" t="s">
        <v>96</v>
      </c>
      <c r="E203" s="15" t="s">
        <v>91</v>
      </c>
      <c r="F203" s="15" t="s">
        <v>79</v>
      </c>
      <c r="G203" s="15" t="s">
        <v>95</v>
      </c>
      <c r="H203" s="15" t="s">
        <v>71</v>
      </c>
      <c r="I203" s="16">
        <v>29432</v>
      </c>
      <c r="J203" s="16">
        <v>24610</v>
      </c>
      <c r="K203" s="16">
        <v>28454</v>
      </c>
      <c r="L203" s="17">
        <v>117.1</v>
      </c>
      <c r="M203" s="17">
        <v>5.8</v>
      </c>
      <c r="N203" s="17">
        <f t="shared" si="9"/>
        <v>111.3</v>
      </c>
      <c r="O203" s="17">
        <v>86.8</v>
      </c>
      <c r="P203" s="17">
        <v>107.3</v>
      </c>
      <c r="Q203" s="17">
        <v>66.599999999999994</v>
      </c>
      <c r="R203" s="17">
        <f t="shared" si="10"/>
        <v>44.7</v>
      </c>
      <c r="S203" s="17">
        <v>52.4</v>
      </c>
      <c r="T203" s="17">
        <f t="shared" si="11"/>
        <v>34.4</v>
      </c>
    </row>
    <row r="204" spans="1:20" x14ac:dyDescent="0.35">
      <c r="A204" s="14" t="s">
        <v>62</v>
      </c>
      <c r="B204" s="15" t="s">
        <v>63</v>
      </c>
      <c r="C204" s="15" t="s">
        <v>93</v>
      </c>
      <c r="D204" s="15" t="s">
        <v>96</v>
      </c>
      <c r="E204" s="15" t="s">
        <v>91</v>
      </c>
      <c r="F204" s="15" t="s">
        <v>81</v>
      </c>
      <c r="G204" s="15" t="s">
        <v>82</v>
      </c>
      <c r="H204" s="15" t="s">
        <v>71</v>
      </c>
      <c r="I204" s="16">
        <v>8371</v>
      </c>
      <c r="J204" s="16">
        <v>6917</v>
      </c>
      <c r="K204" s="16">
        <v>8084</v>
      </c>
      <c r="L204" s="17">
        <v>70.8</v>
      </c>
      <c r="M204" s="17">
        <v>4</v>
      </c>
      <c r="N204" s="17">
        <f t="shared" si="9"/>
        <v>66.8</v>
      </c>
      <c r="O204" s="17">
        <v>51.5</v>
      </c>
      <c r="P204" s="17">
        <v>63.6</v>
      </c>
      <c r="Q204" s="17">
        <v>41.6</v>
      </c>
      <c r="R204" s="17">
        <f t="shared" si="10"/>
        <v>25.199999999999996</v>
      </c>
      <c r="S204" s="17">
        <v>32.4</v>
      </c>
      <c r="T204" s="17">
        <f t="shared" si="11"/>
        <v>19.100000000000001</v>
      </c>
    </row>
    <row r="205" spans="1:20" x14ac:dyDescent="0.35">
      <c r="A205" s="14" t="s">
        <v>62</v>
      </c>
      <c r="B205" s="15" t="s">
        <v>63</v>
      </c>
      <c r="C205" s="15" t="s">
        <v>93</v>
      </c>
      <c r="D205" s="15" t="s">
        <v>96</v>
      </c>
      <c r="E205" s="15" t="s">
        <v>91</v>
      </c>
      <c r="F205" s="15" t="s">
        <v>83</v>
      </c>
      <c r="G205" s="15" t="s">
        <v>84</v>
      </c>
      <c r="H205" s="15" t="s">
        <v>72</v>
      </c>
      <c r="I205" s="16">
        <v>9217</v>
      </c>
      <c r="J205" s="16">
        <v>6973</v>
      </c>
      <c r="K205" s="16">
        <v>8863</v>
      </c>
      <c r="L205" s="17">
        <v>246.5</v>
      </c>
      <c r="M205" s="17">
        <v>12.8</v>
      </c>
      <c r="N205" s="17">
        <f t="shared" si="9"/>
        <v>233.7</v>
      </c>
      <c r="O205" s="17">
        <v>163.5</v>
      </c>
      <c r="P205" s="17">
        <v>221.9</v>
      </c>
      <c r="Q205" s="17">
        <v>132.30000000000001</v>
      </c>
      <c r="R205" s="17">
        <f t="shared" si="10"/>
        <v>101.39999999999998</v>
      </c>
      <c r="S205" s="17">
        <v>94.4</v>
      </c>
      <c r="T205" s="17">
        <f t="shared" si="11"/>
        <v>69.099999999999994</v>
      </c>
    </row>
    <row r="206" spans="1:20" x14ac:dyDescent="0.35">
      <c r="A206" s="14" t="s">
        <v>62</v>
      </c>
      <c r="B206" s="15" t="s">
        <v>63</v>
      </c>
      <c r="C206" s="15" t="s">
        <v>93</v>
      </c>
      <c r="D206" s="15" t="s">
        <v>96</v>
      </c>
      <c r="E206" s="15" t="s">
        <v>92</v>
      </c>
      <c r="F206" s="15" t="s">
        <v>67</v>
      </c>
      <c r="G206" s="15" t="s">
        <v>68</v>
      </c>
      <c r="H206" s="15" t="s">
        <v>69</v>
      </c>
      <c r="I206" s="16">
        <v>178897</v>
      </c>
      <c r="J206" s="16">
        <v>132634</v>
      </c>
      <c r="K206" s="16">
        <v>172524</v>
      </c>
      <c r="L206" s="17">
        <v>710.2</v>
      </c>
      <c r="M206" s="17">
        <v>57.8</v>
      </c>
      <c r="N206" s="17">
        <f t="shared" si="9"/>
        <v>652.40000000000009</v>
      </c>
      <c r="O206" s="17">
        <v>447.4</v>
      </c>
      <c r="P206" s="17">
        <v>625.5</v>
      </c>
      <c r="Q206" s="17">
        <v>361.9</v>
      </c>
      <c r="R206" s="17">
        <f t="shared" si="10"/>
        <v>290.50000000000011</v>
      </c>
      <c r="S206" s="17">
        <v>254.5</v>
      </c>
      <c r="T206" s="17">
        <f t="shared" si="11"/>
        <v>192.89999999999998</v>
      </c>
    </row>
    <row r="207" spans="1:20" x14ac:dyDescent="0.35">
      <c r="A207" s="14" t="s">
        <v>62</v>
      </c>
      <c r="B207" s="15" t="s">
        <v>63</v>
      </c>
      <c r="C207" s="15" t="s">
        <v>93</v>
      </c>
      <c r="D207" s="15" t="s">
        <v>96</v>
      </c>
      <c r="E207" s="15" t="s">
        <v>92</v>
      </c>
      <c r="F207" s="15" t="s">
        <v>67</v>
      </c>
      <c r="G207" s="15" t="s">
        <v>68</v>
      </c>
      <c r="H207" s="15" t="s">
        <v>70</v>
      </c>
      <c r="I207" s="16">
        <v>131346</v>
      </c>
      <c r="J207" s="16">
        <v>95032</v>
      </c>
      <c r="K207" s="16">
        <v>126816</v>
      </c>
      <c r="L207" s="17">
        <v>606.79999999999995</v>
      </c>
      <c r="M207" s="17">
        <v>42.5</v>
      </c>
      <c r="N207" s="17">
        <f t="shared" si="9"/>
        <v>564.29999999999995</v>
      </c>
      <c r="O207" s="17">
        <v>381.2</v>
      </c>
      <c r="P207" s="17">
        <v>539.1</v>
      </c>
      <c r="Q207" s="17">
        <v>317.8</v>
      </c>
      <c r="R207" s="17">
        <f t="shared" si="10"/>
        <v>246.49999999999994</v>
      </c>
      <c r="S207" s="17">
        <v>218.2</v>
      </c>
      <c r="T207" s="17">
        <f t="shared" si="11"/>
        <v>163</v>
      </c>
    </row>
    <row r="208" spans="1:20" x14ac:dyDescent="0.35">
      <c r="A208" s="14" t="s">
        <v>62</v>
      </c>
      <c r="B208" s="15" t="s">
        <v>63</v>
      </c>
      <c r="C208" s="15" t="s">
        <v>93</v>
      </c>
      <c r="D208" s="15" t="s">
        <v>96</v>
      </c>
      <c r="E208" s="15" t="s">
        <v>92</v>
      </c>
      <c r="F208" s="15" t="s">
        <v>67</v>
      </c>
      <c r="G208" s="15" t="s">
        <v>68</v>
      </c>
      <c r="H208" s="15" t="s">
        <v>71</v>
      </c>
      <c r="I208" s="16">
        <v>178548</v>
      </c>
      <c r="J208" s="16">
        <v>130876</v>
      </c>
      <c r="K208" s="16">
        <v>173654</v>
      </c>
      <c r="L208" s="17">
        <v>1083.7</v>
      </c>
      <c r="M208" s="17">
        <v>89.1</v>
      </c>
      <c r="N208" s="17">
        <f t="shared" si="9"/>
        <v>994.6</v>
      </c>
      <c r="O208" s="17">
        <v>673.4</v>
      </c>
      <c r="P208" s="17">
        <v>942.8</v>
      </c>
      <c r="Q208" s="17">
        <v>610.70000000000005</v>
      </c>
      <c r="R208" s="17">
        <f t="shared" si="10"/>
        <v>383.9</v>
      </c>
      <c r="S208" s="17">
        <v>421.6</v>
      </c>
      <c r="T208" s="17">
        <f t="shared" si="11"/>
        <v>251.79999999999995</v>
      </c>
    </row>
    <row r="209" spans="1:20" x14ac:dyDescent="0.35">
      <c r="A209" s="14" t="s">
        <v>62</v>
      </c>
      <c r="B209" s="15" t="s">
        <v>63</v>
      </c>
      <c r="C209" s="15" t="s">
        <v>93</v>
      </c>
      <c r="D209" s="15" t="s">
        <v>96</v>
      </c>
      <c r="E209" s="15" t="s">
        <v>92</v>
      </c>
      <c r="F209" s="15" t="s">
        <v>67</v>
      </c>
      <c r="G209" s="15" t="s">
        <v>68</v>
      </c>
      <c r="H209" s="15" t="s">
        <v>72</v>
      </c>
      <c r="I209" s="16">
        <v>42528</v>
      </c>
      <c r="J209" s="16">
        <v>31031</v>
      </c>
      <c r="K209" s="16">
        <v>40803</v>
      </c>
      <c r="L209" s="17">
        <v>344.8</v>
      </c>
      <c r="M209" s="17">
        <v>29.1</v>
      </c>
      <c r="N209" s="17">
        <f t="shared" si="9"/>
        <v>315.7</v>
      </c>
      <c r="O209" s="17">
        <v>214.1</v>
      </c>
      <c r="P209" s="17">
        <v>300.39999999999998</v>
      </c>
      <c r="Q209" s="17">
        <v>206.2</v>
      </c>
      <c r="R209" s="17">
        <f t="shared" si="10"/>
        <v>109.5</v>
      </c>
      <c r="S209" s="17">
        <v>142.19999999999999</v>
      </c>
      <c r="T209" s="17">
        <f t="shared" si="11"/>
        <v>71.900000000000006</v>
      </c>
    </row>
    <row r="210" spans="1:20" x14ac:dyDescent="0.35">
      <c r="A210" s="14" t="s">
        <v>62</v>
      </c>
      <c r="B210" s="15" t="s">
        <v>63</v>
      </c>
      <c r="C210" s="15" t="s">
        <v>93</v>
      </c>
      <c r="D210" s="15" t="s">
        <v>96</v>
      </c>
      <c r="E210" s="15" t="s">
        <v>92</v>
      </c>
      <c r="F210" s="15" t="s">
        <v>67</v>
      </c>
      <c r="G210" s="15" t="s">
        <v>73</v>
      </c>
      <c r="H210" s="15" t="s">
        <v>71</v>
      </c>
      <c r="I210" s="16">
        <v>44018</v>
      </c>
      <c r="J210" s="16">
        <v>30510</v>
      </c>
      <c r="K210" s="16">
        <v>42752</v>
      </c>
      <c r="L210" s="17">
        <v>259.89999999999998</v>
      </c>
      <c r="M210" s="17">
        <v>19.7</v>
      </c>
      <c r="N210" s="17">
        <f t="shared" si="9"/>
        <v>240.2</v>
      </c>
      <c r="O210" s="17">
        <v>155.1</v>
      </c>
      <c r="P210" s="17">
        <v>229.6</v>
      </c>
      <c r="Q210" s="17">
        <v>150.9</v>
      </c>
      <c r="R210" s="17">
        <f t="shared" si="10"/>
        <v>89.299999999999983</v>
      </c>
      <c r="S210" s="17">
        <v>99.2</v>
      </c>
      <c r="T210" s="17">
        <f t="shared" si="11"/>
        <v>55.899999999999991</v>
      </c>
    </row>
    <row r="211" spans="1:20" x14ac:dyDescent="0.35">
      <c r="A211" s="14" t="s">
        <v>62</v>
      </c>
      <c r="B211" s="15" t="s">
        <v>63</v>
      </c>
      <c r="C211" s="15" t="s">
        <v>93</v>
      </c>
      <c r="D211" s="15" t="s">
        <v>96</v>
      </c>
      <c r="E211" s="15" t="s">
        <v>92</v>
      </c>
      <c r="F211" s="15" t="s">
        <v>67</v>
      </c>
      <c r="G211" s="15" t="s">
        <v>73</v>
      </c>
      <c r="H211" s="15" t="s">
        <v>72</v>
      </c>
      <c r="I211" s="16">
        <v>14062</v>
      </c>
      <c r="J211" s="16">
        <v>9538</v>
      </c>
      <c r="K211" s="16">
        <v>13625</v>
      </c>
      <c r="L211" s="17">
        <v>113</v>
      </c>
      <c r="M211" s="17">
        <v>8</v>
      </c>
      <c r="N211" s="17">
        <f t="shared" si="9"/>
        <v>105</v>
      </c>
      <c r="O211" s="17">
        <v>66.400000000000006</v>
      </c>
      <c r="P211" s="17">
        <v>101.2</v>
      </c>
      <c r="Q211" s="17">
        <v>65.8</v>
      </c>
      <c r="R211" s="17">
        <f t="shared" si="10"/>
        <v>39.200000000000003</v>
      </c>
      <c r="S211" s="17">
        <v>42.1</v>
      </c>
      <c r="T211" s="17">
        <f t="shared" si="11"/>
        <v>24.300000000000004</v>
      </c>
    </row>
    <row r="212" spans="1:20" x14ac:dyDescent="0.35">
      <c r="A212" s="14" t="s">
        <v>62</v>
      </c>
      <c r="B212" s="15" t="s">
        <v>63</v>
      </c>
      <c r="C212" s="15" t="s">
        <v>93</v>
      </c>
      <c r="D212" s="15" t="s">
        <v>96</v>
      </c>
      <c r="E212" s="15" t="s">
        <v>92</v>
      </c>
      <c r="F212" s="15" t="s">
        <v>67</v>
      </c>
      <c r="G212" s="15" t="s">
        <v>74</v>
      </c>
      <c r="H212" s="15" t="s">
        <v>70</v>
      </c>
      <c r="I212" s="16">
        <v>64158</v>
      </c>
      <c r="J212" s="16">
        <v>46220</v>
      </c>
      <c r="K212" s="16">
        <v>62001</v>
      </c>
      <c r="L212" s="17">
        <v>296.5</v>
      </c>
      <c r="M212" s="17">
        <v>24.8</v>
      </c>
      <c r="N212" s="17">
        <f t="shared" si="9"/>
        <v>271.7</v>
      </c>
      <c r="O212" s="17">
        <v>182</v>
      </c>
      <c r="P212" s="17">
        <v>262.2</v>
      </c>
      <c r="Q212" s="17">
        <v>157.19999999999999</v>
      </c>
      <c r="R212" s="17">
        <f t="shared" si="10"/>
        <v>114.5</v>
      </c>
      <c r="S212" s="17">
        <v>106.8</v>
      </c>
      <c r="T212" s="17">
        <f t="shared" si="11"/>
        <v>75.2</v>
      </c>
    </row>
    <row r="213" spans="1:20" x14ac:dyDescent="0.35">
      <c r="A213" s="14" t="s">
        <v>62</v>
      </c>
      <c r="B213" s="15" t="s">
        <v>63</v>
      </c>
      <c r="C213" s="15" t="s">
        <v>93</v>
      </c>
      <c r="D213" s="15" t="s">
        <v>96</v>
      </c>
      <c r="E213" s="15" t="s">
        <v>92</v>
      </c>
      <c r="F213" s="15" t="s">
        <v>67</v>
      </c>
      <c r="G213" s="15" t="s">
        <v>74</v>
      </c>
      <c r="H213" s="15" t="s">
        <v>71</v>
      </c>
      <c r="I213" s="16">
        <v>64524</v>
      </c>
      <c r="J213" s="16">
        <v>47746</v>
      </c>
      <c r="K213" s="16">
        <v>62345</v>
      </c>
      <c r="L213" s="17">
        <v>382.2</v>
      </c>
      <c r="M213" s="17">
        <v>27.1</v>
      </c>
      <c r="N213" s="17">
        <f t="shared" si="9"/>
        <v>355.09999999999997</v>
      </c>
      <c r="O213" s="17">
        <v>241.9</v>
      </c>
      <c r="P213" s="17">
        <v>342</v>
      </c>
      <c r="Q213" s="17">
        <v>220.1</v>
      </c>
      <c r="R213" s="17">
        <f t="shared" si="10"/>
        <v>134.99999999999997</v>
      </c>
      <c r="S213" s="17">
        <v>152.30000000000001</v>
      </c>
      <c r="T213" s="17">
        <f t="shared" si="11"/>
        <v>89.6</v>
      </c>
    </row>
    <row r="214" spans="1:20" x14ac:dyDescent="0.35">
      <c r="A214" s="14" t="s">
        <v>62</v>
      </c>
      <c r="B214" s="15" t="s">
        <v>63</v>
      </c>
      <c r="C214" s="15" t="s">
        <v>93</v>
      </c>
      <c r="D214" s="15" t="s">
        <v>96</v>
      </c>
      <c r="E214" s="15" t="s">
        <v>92</v>
      </c>
      <c r="F214" s="15" t="s">
        <v>67</v>
      </c>
      <c r="G214" s="15" t="s">
        <v>75</v>
      </c>
      <c r="H214" s="15" t="s">
        <v>71</v>
      </c>
      <c r="I214" s="16">
        <v>54620</v>
      </c>
      <c r="J214" s="16">
        <v>40106</v>
      </c>
      <c r="K214" s="16">
        <v>53125</v>
      </c>
      <c r="L214" s="17">
        <v>323.39999999999998</v>
      </c>
      <c r="M214" s="17">
        <v>27</v>
      </c>
      <c r="N214" s="17">
        <f t="shared" si="9"/>
        <v>296.39999999999998</v>
      </c>
      <c r="O214" s="17">
        <v>201.2</v>
      </c>
      <c r="P214" s="17">
        <v>284.8</v>
      </c>
      <c r="Q214" s="17">
        <v>183.9</v>
      </c>
      <c r="R214" s="17">
        <f t="shared" si="10"/>
        <v>112.49999999999997</v>
      </c>
      <c r="S214" s="17">
        <v>126.8</v>
      </c>
      <c r="T214" s="17">
        <f t="shared" si="11"/>
        <v>74.399999999999991</v>
      </c>
    </row>
    <row r="215" spans="1:20" x14ac:dyDescent="0.35">
      <c r="A215" s="14" t="s">
        <v>62</v>
      </c>
      <c r="B215" s="15" t="s">
        <v>63</v>
      </c>
      <c r="C215" s="15" t="s">
        <v>93</v>
      </c>
      <c r="D215" s="15" t="s">
        <v>96</v>
      </c>
      <c r="E215" s="15" t="s">
        <v>92</v>
      </c>
      <c r="F215" s="15" t="s">
        <v>67</v>
      </c>
      <c r="G215" s="15" t="s">
        <v>76</v>
      </c>
      <c r="H215" s="15" t="s">
        <v>72</v>
      </c>
      <c r="I215" s="16">
        <v>10505</v>
      </c>
      <c r="J215" s="16">
        <v>7548</v>
      </c>
      <c r="K215" s="16">
        <v>10219</v>
      </c>
      <c r="L215" s="17">
        <v>104.7</v>
      </c>
      <c r="M215" s="17">
        <v>8.8000000000000007</v>
      </c>
      <c r="N215" s="17">
        <f t="shared" si="9"/>
        <v>95.9</v>
      </c>
      <c r="O215" s="17">
        <v>64</v>
      </c>
      <c r="P215" s="17">
        <v>92.3</v>
      </c>
      <c r="Q215" s="17">
        <v>59.3</v>
      </c>
      <c r="R215" s="17">
        <f t="shared" si="10"/>
        <v>36.600000000000009</v>
      </c>
      <c r="S215" s="17">
        <v>40</v>
      </c>
      <c r="T215" s="17">
        <f t="shared" si="11"/>
        <v>24</v>
      </c>
    </row>
    <row r="216" spans="1:20" x14ac:dyDescent="0.35">
      <c r="A216" s="14" t="s">
        <v>62</v>
      </c>
      <c r="B216" s="15" t="s">
        <v>63</v>
      </c>
      <c r="C216" s="15" t="s">
        <v>93</v>
      </c>
      <c r="D216" s="15" t="s">
        <v>96</v>
      </c>
      <c r="E216" s="15" t="s">
        <v>92</v>
      </c>
      <c r="F216" s="15" t="s">
        <v>79</v>
      </c>
      <c r="G216" s="15" t="s">
        <v>95</v>
      </c>
      <c r="H216" s="15" t="s">
        <v>71</v>
      </c>
      <c r="I216" s="16">
        <v>55323</v>
      </c>
      <c r="J216" s="16">
        <v>40394</v>
      </c>
      <c r="K216" s="16">
        <v>53599</v>
      </c>
      <c r="L216" s="17">
        <v>202.8</v>
      </c>
      <c r="M216" s="17">
        <v>17</v>
      </c>
      <c r="N216" s="17">
        <f t="shared" si="9"/>
        <v>185.8</v>
      </c>
      <c r="O216" s="17">
        <v>126.6</v>
      </c>
      <c r="P216" s="17">
        <v>176.8</v>
      </c>
      <c r="Q216" s="17">
        <v>111.9</v>
      </c>
      <c r="R216" s="17">
        <f t="shared" si="10"/>
        <v>73.900000000000006</v>
      </c>
      <c r="S216" s="17">
        <v>77.400000000000006</v>
      </c>
      <c r="T216" s="17">
        <f t="shared" si="11"/>
        <v>49.199999999999989</v>
      </c>
    </row>
    <row r="217" spans="1:20" x14ac:dyDescent="0.35">
      <c r="A217" s="14" t="s">
        <v>62</v>
      </c>
      <c r="B217" s="15" t="s">
        <v>63</v>
      </c>
      <c r="C217" s="15" t="s">
        <v>93</v>
      </c>
      <c r="D217" s="15" t="s">
        <v>96</v>
      </c>
      <c r="E217" s="15" t="s">
        <v>92</v>
      </c>
      <c r="F217" s="15" t="s">
        <v>81</v>
      </c>
      <c r="G217" s="15" t="s">
        <v>82</v>
      </c>
      <c r="H217" s="15" t="s">
        <v>71</v>
      </c>
      <c r="I217" s="16">
        <v>16687</v>
      </c>
      <c r="J217" s="16">
        <v>11829</v>
      </c>
      <c r="K217" s="16">
        <v>16006</v>
      </c>
      <c r="L217" s="17">
        <v>127.9</v>
      </c>
      <c r="M217" s="17">
        <v>9.5</v>
      </c>
      <c r="N217" s="17">
        <f t="shared" si="9"/>
        <v>118.4</v>
      </c>
      <c r="O217" s="17">
        <v>77</v>
      </c>
      <c r="P217" s="17">
        <v>113.1</v>
      </c>
      <c r="Q217" s="17">
        <v>74.599999999999994</v>
      </c>
      <c r="R217" s="17">
        <f t="shared" si="10"/>
        <v>43.800000000000011</v>
      </c>
      <c r="S217" s="17">
        <v>49.3</v>
      </c>
      <c r="T217" s="17">
        <f t="shared" si="11"/>
        <v>27.700000000000003</v>
      </c>
    </row>
    <row r="218" spans="1:20" x14ac:dyDescent="0.35">
      <c r="A218" s="14" t="s">
        <v>62</v>
      </c>
      <c r="B218" s="15" t="s">
        <v>63</v>
      </c>
      <c r="C218" s="15" t="s">
        <v>93</v>
      </c>
      <c r="D218" s="15" t="s">
        <v>96</v>
      </c>
      <c r="E218" s="15" t="s">
        <v>92</v>
      </c>
      <c r="F218" s="15" t="s">
        <v>83</v>
      </c>
      <c r="G218" s="15" t="s">
        <v>84</v>
      </c>
      <c r="H218" s="15" t="s">
        <v>72</v>
      </c>
      <c r="I218" s="16">
        <v>7465</v>
      </c>
      <c r="J218" s="16">
        <v>4894</v>
      </c>
      <c r="K218" s="16">
        <v>7221</v>
      </c>
      <c r="L218" s="17">
        <v>176.5</v>
      </c>
      <c r="M218" s="17">
        <v>13.2</v>
      </c>
      <c r="N218" s="17">
        <f t="shared" si="9"/>
        <v>163.30000000000001</v>
      </c>
      <c r="O218" s="17">
        <v>99.9</v>
      </c>
      <c r="P218" s="17">
        <v>157.69999999999999</v>
      </c>
      <c r="Q218" s="17">
        <v>93.4</v>
      </c>
      <c r="R218" s="17">
        <f t="shared" si="10"/>
        <v>69.900000000000006</v>
      </c>
      <c r="S218" s="17">
        <v>57.8</v>
      </c>
      <c r="T218" s="17">
        <f t="shared" si="11"/>
        <v>42.100000000000009</v>
      </c>
    </row>
    <row r="219" spans="1:20" x14ac:dyDescent="0.35">
      <c r="A219" s="14" t="s">
        <v>62</v>
      </c>
      <c r="B219" s="15" t="s">
        <v>63</v>
      </c>
      <c r="C219" s="15" t="s">
        <v>93</v>
      </c>
      <c r="D219" s="15" t="s">
        <v>97</v>
      </c>
      <c r="E219" s="15" t="s">
        <v>66</v>
      </c>
      <c r="F219" s="15" t="s">
        <v>67</v>
      </c>
      <c r="G219" s="15" t="s">
        <v>68</v>
      </c>
      <c r="H219" s="15" t="s">
        <v>69</v>
      </c>
      <c r="I219" s="16">
        <v>104620</v>
      </c>
      <c r="J219" s="16">
        <v>93486</v>
      </c>
      <c r="K219" s="16">
        <v>101385</v>
      </c>
      <c r="L219" s="17">
        <v>509.9</v>
      </c>
      <c r="M219" s="17">
        <v>68.7</v>
      </c>
      <c r="N219" s="17">
        <f t="shared" si="9"/>
        <v>441.2</v>
      </c>
      <c r="O219" s="17">
        <v>377.5</v>
      </c>
      <c r="P219" s="17">
        <v>422.6</v>
      </c>
      <c r="Q219" s="17">
        <v>242</v>
      </c>
      <c r="R219" s="17">
        <f t="shared" si="10"/>
        <v>199.2</v>
      </c>
      <c r="S219" s="17">
        <v>211.3</v>
      </c>
      <c r="T219" s="17">
        <f t="shared" si="11"/>
        <v>166.2</v>
      </c>
    </row>
    <row r="220" spans="1:20" x14ac:dyDescent="0.35">
      <c r="A220" s="14" t="s">
        <v>62</v>
      </c>
      <c r="B220" s="15" t="s">
        <v>63</v>
      </c>
      <c r="C220" s="15" t="s">
        <v>93</v>
      </c>
      <c r="D220" s="15" t="s">
        <v>97</v>
      </c>
      <c r="E220" s="15" t="s">
        <v>66</v>
      </c>
      <c r="F220" s="15" t="s">
        <v>67</v>
      </c>
      <c r="G220" s="15" t="s">
        <v>68</v>
      </c>
      <c r="H220" s="15" t="s">
        <v>70</v>
      </c>
      <c r="I220" s="16">
        <v>139824</v>
      </c>
      <c r="J220" s="16">
        <v>123349</v>
      </c>
      <c r="K220" s="16">
        <v>135818</v>
      </c>
      <c r="L220" s="17">
        <v>787.1</v>
      </c>
      <c r="M220" s="17">
        <v>110.5</v>
      </c>
      <c r="N220" s="17">
        <f t="shared" si="9"/>
        <v>676.6</v>
      </c>
      <c r="O220" s="17">
        <v>571.1</v>
      </c>
      <c r="P220" s="17">
        <v>646.6</v>
      </c>
      <c r="Q220" s="17">
        <v>391.9</v>
      </c>
      <c r="R220" s="17">
        <f t="shared" si="10"/>
        <v>284.70000000000005</v>
      </c>
      <c r="S220" s="17">
        <v>333.4</v>
      </c>
      <c r="T220" s="17">
        <f t="shared" si="11"/>
        <v>237.70000000000005</v>
      </c>
    </row>
    <row r="221" spans="1:20" x14ac:dyDescent="0.35">
      <c r="A221" s="14" t="s">
        <v>62</v>
      </c>
      <c r="B221" s="15" t="s">
        <v>63</v>
      </c>
      <c r="C221" s="15" t="s">
        <v>93</v>
      </c>
      <c r="D221" s="15" t="s">
        <v>97</v>
      </c>
      <c r="E221" s="15" t="s">
        <v>66</v>
      </c>
      <c r="F221" s="15" t="s">
        <v>67</v>
      </c>
      <c r="G221" s="15" t="s">
        <v>68</v>
      </c>
      <c r="H221" s="15" t="s">
        <v>71</v>
      </c>
      <c r="I221" s="16">
        <v>304767</v>
      </c>
      <c r="J221" s="16">
        <v>273251</v>
      </c>
      <c r="K221" s="16">
        <v>297449</v>
      </c>
      <c r="L221" s="17">
        <v>2161.9</v>
      </c>
      <c r="M221" s="17">
        <v>316.5</v>
      </c>
      <c r="N221" s="17">
        <f t="shared" si="9"/>
        <v>1845.4</v>
      </c>
      <c r="O221" s="17">
        <v>1561.2</v>
      </c>
      <c r="P221" s="17">
        <v>1765.7</v>
      </c>
      <c r="Q221" s="17">
        <v>1126.7</v>
      </c>
      <c r="R221" s="17">
        <f t="shared" si="10"/>
        <v>718.7</v>
      </c>
      <c r="S221" s="17">
        <v>967.7</v>
      </c>
      <c r="T221" s="17">
        <f t="shared" si="11"/>
        <v>593.5</v>
      </c>
    </row>
    <row r="222" spans="1:20" x14ac:dyDescent="0.35">
      <c r="A222" s="14" t="s">
        <v>62</v>
      </c>
      <c r="B222" s="15" t="s">
        <v>63</v>
      </c>
      <c r="C222" s="15" t="s">
        <v>93</v>
      </c>
      <c r="D222" s="15" t="s">
        <v>97</v>
      </c>
      <c r="E222" s="15" t="s">
        <v>66</v>
      </c>
      <c r="F222" s="15" t="s">
        <v>67</v>
      </c>
      <c r="G222" s="15" t="s">
        <v>68</v>
      </c>
      <c r="H222" s="15" t="s">
        <v>72</v>
      </c>
      <c r="I222" s="16">
        <v>113798</v>
      </c>
      <c r="J222" s="16">
        <v>99078</v>
      </c>
      <c r="K222" s="16">
        <v>110869</v>
      </c>
      <c r="L222" s="17">
        <v>1134.0999999999999</v>
      </c>
      <c r="M222" s="17">
        <v>170</v>
      </c>
      <c r="N222" s="17">
        <f t="shared" si="9"/>
        <v>964.09999999999991</v>
      </c>
      <c r="O222" s="17">
        <v>803.4</v>
      </c>
      <c r="P222" s="17">
        <v>922.1</v>
      </c>
      <c r="Q222" s="17">
        <v>613.1</v>
      </c>
      <c r="R222" s="17">
        <f t="shared" si="10"/>
        <v>350.99999999999989</v>
      </c>
      <c r="S222" s="17">
        <v>515.9</v>
      </c>
      <c r="T222" s="17">
        <f t="shared" si="11"/>
        <v>287.5</v>
      </c>
    </row>
    <row r="223" spans="1:20" x14ac:dyDescent="0.35">
      <c r="A223" s="14" t="s">
        <v>62</v>
      </c>
      <c r="B223" s="15" t="s">
        <v>63</v>
      </c>
      <c r="C223" s="15" t="s">
        <v>93</v>
      </c>
      <c r="D223" s="15" t="s">
        <v>97</v>
      </c>
      <c r="E223" s="15" t="s">
        <v>66</v>
      </c>
      <c r="F223" s="15" t="s">
        <v>67</v>
      </c>
      <c r="G223" s="15" t="s">
        <v>73</v>
      </c>
      <c r="H223" s="15" t="s">
        <v>71</v>
      </c>
      <c r="I223" s="16">
        <v>86565</v>
      </c>
      <c r="J223" s="16">
        <v>70364</v>
      </c>
      <c r="K223" s="16">
        <v>83428</v>
      </c>
      <c r="L223" s="17">
        <v>621.20000000000005</v>
      </c>
      <c r="M223" s="17">
        <v>84.4</v>
      </c>
      <c r="N223" s="17">
        <f t="shared" si="9"/>
        <v>536.80000000000007</v>
      </c>
      <c r="O223" s="17">
        <v>412.7</v>
      </c>
      <c r="P223" s="17">
        <v>514.4</v>
      </c>
      <c r="Q223" s="17">
        <v>334.1</v>
      </c>
      <c r="R223" s="17">
        <f t="shared" si="10"/>
        <v>202.70000000000005</v>
      </c>
      <c r="S223" s="17">
        <v>261.5</v>
      </c>
      <c r="T223" s="17">
        <f t="shared" si="11"/>
        <v>151.19999999999999</v>
      </c>
    </row>
    <row r="224" spans="1:20" x14ac:dyDescent="0.35">
      <c r="A224" s="14" t="s">
        <v>62</v>
      </c>
      <c r="B224" s="15" t="s">
        <v>63</v>
      </c>
      <c r="C224" s="15" t="s">
        <v>93</v>
      </c>
      <c r="D224" s="15" t="s">
        <v>97</v>
      </c>
      <c r="E224" s="15" t="s">
        <v>66</v>
      </c>
      <c r="F224" s="15" t="s">
        <v>67</v>
      </c>
      <c r="G224" s="15" t="s">
        <v>73</v>
      </c>
      <c r="H224" s="15" t="s">
        <v>72</v>
      </c>
      <c r="I224" s="16">
        <v>35607</v>
      </c>
      <c r="J224" s="16">
        <v>28310</v>
      </c>
      <c r="K224" s="16">
        <v>34313</v>
      </c>
      <c r="L224" s="17">
        <v>343.9</v>
      </c>
      <c r="M224" s="17">
        <v>49.2</v>
      </c>
      <c r="N224" s="17">
        <f t="shared" si="9"/>
        <v>294.7</v>
      </c>
      <c r="O224" s="17">
        <v>223.6</v>
      </c>
      <c r="P224" s="17">
        <v>281.2</v>
      </c>
      <c r="Q224" s="17">
        <v>189.2</v>
      </c>
      <c r="R224" s="17">
        <f t="shared" si="10"/>
        <v>105.5</v>
      </c>
      <c r="S224" s="17">
        <v>145.1</v>
      </c>
      <c r="T224" s="17">
        <f t="shared" si="11"/>
        <v>78.5</v>
      </c>
    </row>
    <row r="225" spans="1:20" x14ac:dyDescent="0.35">
      <c r="A225" s="14" t="s">
        <v>62</v>
      </c>
      <c r="B225" s="15" t="s">
        <v>63</v>
      </c>
      <c r="C225" s="15" t="s">
        <v>93</v>
      </c>
      <c r="D225" s="15" t="s">
        <v>97</v>
      </c>
      <c r="E225" s="15" t="s">
        <v>66</v>
      </c>
      <c r="F225" s="15" t="s">
        <v>67</v>
      </c>
      <c r="G225" s="15" t="s">
        <v>74</v>
      </c>
      <c r="H225" s="15" t="s">
        <v>70</v>
      </c>
      <c r="I225" s="16">
        <v>55933</v>
      </c>
      <c r="J225" s="16">
        <v>48094</v>
      </c>
      <c r="K225" s="16">
        <v>54473</v>
      </c>
      <c r="L225" s="17">
        <v>306.2</v>
      </c>
      <c r="M225" s="17">
        <v>39.9</v>
      </c>
      <c r="N225" s="17">
        <f t="shared" si="9"/>
        <v>266.3</v>
      </c>
      <c r="O225" s="17">
        <v>220</v>
      </c>
      <c r="P225" s="17">
        <v>255.5</v>
      </c>
      <c r="Q225" s="17">
        <v>154.4</v>
      </c>
      <c r="R225" s="17">
        <f t="shared" si="10"/>
        <v>111.9</v>
      </c>
      <c r="S225" s="17">
        <v>129.6</v>
      </c>
      <c r="T225" s="17">
        <f t="shared" si="11"/>
        <v>90.4</v>
      </c>
    </row>
    <row r="226" spans="1:20" x14ac:dyDescent="0.35">
      <c r="A226" s="14" t="s">
        <v>62</v>
      </c>
      <c r="B226" s="15" t="s">
        <v>63</v>
      </c>
      <c r="C226" s="15" t="s">
        <v>93</v>
      </c>
      <c r="D226" s="15" t="s">
        <v>97</v>
      </c>
      <c r="E226" s="15" t="s">
        <v>66</v>
      </c>
      <c r="F226" s="15" t="s">
        <v>67</v>
      </c>
      <c r="G226" s="15" t="s">
        <v>74</v>
      </c>
      <c r="H226" s="15" t="s">
        <v>71</v>
      </c>
      <c r="I226" s="16">
        <v>131228</v>
      </c>
      <c r="J226" s="16">
        <v>115912</v>
      </c>
      <c r="K226" s="16">
        <v>126432</v>
      </c>
      <c r="L226" s="17">
        <v>926</v>
      </c>
      <c r="M226" s="17">
        <v>129.1</v>
      </c>
      <c r="N226" s="17">
        <f t="shared" si="9"/>
        <v>796.9</v>
      </c>
      <c r="O226" s="17">
        <v>664.6</v>
      </c>
      <c r="P226" s="17">
        <v>768</v>
      </c>
      <c r="Q226" s="17">
        <v>495.6</v>
      </c>
      <c r="R226" s="17">
        <f t="shared" si="10"/>
        <v>301.29999999999995</v>
      </c>
      <c r="S226" s="17">
        <v>418.2</v>
      </c>
      <c r="T226" s="17">
        <f t="shared" si="11"/>
        <v>246.40000000000003</v>
      </c>
    </row>
    <row r="227" spans="1:20" x14ac:dyDescent="0.35">
      <c r="A227" s="14" t="s">
        <v>62</v>
      </c>
      <c r="B227" s="15" t="s">
        <v>63</v>
      </c>
      <c r="C227" s="15" t="s">
        <v>93</v>
      </c>
      <c r="D227" s="15" t="s">
        <v>97</v>
      </c>
      <c r="E227" s="15" t="s">
        <v>66</v>
      </c>
      <c r="F227" s="15" t="s">
        <v>67</v>
      </c>
      <c r="G227" s="15" t="s">
        <v>75</v>
      </c>
      <c r="H227" s="15" t="s">
        <v>71</v>
      </c>
      <c r="I227" s="16">
        <v>99576</v>
      </c>
      <c r="J227" s="16">
        <v>88492</v>
      </c>
      <c r="K227" s="16">
        <v>97311</v>
      </c>
      <c r="L227" s="17">
        <v>674.1</v>
      </c>
      <c r="M227" s="17">
        <v>89.1</v>
      </c>
      <c r="N227" s="17">
        <f t="shared" si="9"/>
        <v>585</v>
      </c>
      <c r="O227" s="17">
        <v>498.2</v>
      </c>
      <c r="P227" s="17">
        <v>561.29999999999995</v>
      </c>
      <c r="Q227" s="17">
        <v>362.8</v>
      </c>
      <c r="R227" s="17">
        <f t="shared" si="10"/>
        <v>222.2</v>
      </c>
      <c r="S227" s="17">
        <v>314.39999999999998</v>
      </c>
      <c r="T227" s="17">
        <f t="shared" si="11"/>
        <v>183.8</v>
      </c>
    </row>
    <row r="228" spans="1:20" x14ac:dyDescent="0.35">
      <c r="A228" s="14" t="s">
        <v>62</v>
      </c>
      <c r="B228" s="15" t="s">
        <v>63</v>
      </c>
      <c r="C228" s="15" t="s">
        <v>93</v>
      </c>
      <c r="D228" s="15" t="s">
        <v>97</v>
      </c>
      <c r="E228" s="15" t="s">
        <v>66</v>
      </c>
      <c r="F228" s="15" t="s">
        <v>67</v>
      </c>
      <c r="G228" s="15" t="s">
        <v>76</v>
      </c>
      <c r="H228" s="15" t="s">
        <v>72</v>
      </c>
      <c r="I228" s="16">
        <v>29456</v>
      </c>
      <c r="J228" s="16">
        <v>25167</v>
      </c>
      <c r="K228" s="16">
        <v>28420</v>
      </c>
      <c r="L228" s="17">
        <v>336.9</v>
      </c>
      <c r="M228" s="17">
        <v>46.6</v>
      </c>
      <c r="N228" s="17">
        <f t="shared" si="9"/>
        <v>290.29999999999995</v>
      </c>
      <c r="O228" s="17">
        <v>234.9</v>
      </c>
      <c r="P228" s="17">
        <v>280.60000000000002</v>
      </c>
      <c r="Q228" s="17">
        <v>179.2</v>
      </c>
      <c r="R228" s="17">
        <f t="shared" si="10"/>
        <v>111.09999999999997</v>
      </c>
      <c r="S228" s="17">
        <v>146</v>
      </c>
      <c r="T228" s="17">
        <f t="shared" si="11"/>
        <v>88.9</v>
      </c>
    </row>
    <row r="229" spans="1:20" x14ac:dyDescent="0.35">
      <c r="A229" s="14" t="s">
        <v>62</v>
      </c>
      <c r="B229" s="15" t="s">
        <v>63</v>
      </c>
      <c r="C229" s="15" t="s">
        <v>93</v>
      </c>
      <c r="D229" s="15" t="s">
        <v>97</v>
      </c>
      <c r="E229" s="15" t="s">
        <v>66</v>
      </c>
      <c r="F229" s="15" t="s">
        <v>79</v>
      </c>
      <c r="G229" s="15" t="s">
        <v>95</v>
      </c>
      <c r="H229" s="15" t="s">
        <v>71</v>
      </c>
      <c r="I229" s="16">
        <v>110146</v>
      </c>
      <c r="J229" s="16">
        <v>96091</v>
      </c>
      <c r="K229" s="16">
        <v>107711</v>
      </c>
      <c r="L229" s="17">
        <v>474.9</v>
      </c>
      <c r="M229" s="17">
        <v>62.4</v>
      </c>
      <c r="N229" s="17">
        <f t="shared" si="9"/>
        <v>412.5</v>
      </c>
      <c r="O229" s="17">
        <v>345</v>
      </c>
      <c r="P229" s="17">
        <v>395.6</v>
      </c>
      <c r="Q229" s="17">
        <v>245.6</v>
      </c>
      <c r="R229" s="17">
        <f t="shared" si="10"/>
        <v>166.9</v>
      </c>
      <c r="S229" s="17">
        <v>208.1</v>
      </c>
      <c r="T229" s="17">
        <f t="shared" si="11"/>
        <v>136.9</v>
      </c>
    </row>
    <row r="230" spans="1:20" x14ac:dyDescent="0.35">
      <c r="A230" s="14" t="s">
        <v>62</v>
      </c>
      <c r="B230" s="15" t="s">
        <v>63</v>
      </c>
      <c r="C230" s="15" t="s">
        <v>93</v>
      </c>
      <c r="D230" s="15" t="s">
        <v>97</v>
      </c>
      <c r="E230" s="15" t="s">
        <v>66</v>
      </c>
      <c r="F230" s="15" t="s">
        <v>81</v>
      </c>
      <c r="G230" s="15" t="s">
        <v>82</v>
      </c>
      <c r="H230" s="15" t="s">
        <v>71</v>
      </c>
      <c r="I230" s="16">
        <v>33855</v>
      </c>
      <c r="J230" s="16">
        <v>28500</v>
      </c>
      <c r="K230" s="16">
        <v>32635</v>
      </c>
      <c r="L230" s="17">
        <v>314.7</v>
      </c>
      <c r="M230" s="17">
        <v>46.4</v>
      </c>
      <c r="N230" s="17">
        <f t="shared" si="9"/>
        <v>268.3</v>
      </c>
      <c r="O230" s="17">
        <v>215.9</v>
      </c>
      <c r="P230" s="17">
        <v>259.39999999999998</v>
      </c>
      <c r="Q230" s="17">
        <v>166.6</v>
      </c>
      <c r="R230" s="17">
        <f t="shared" si="10"/>
        <v>101.70000000000002</v>
      </c>
      <c r="S230" s="17">
        <v>136.69999999999999</v>
      </c>
      <c r="T230" s="17">
        <f t="shared" si="11"/>
        <v>79.200000000000017</v>
      </c>
    </row>
    <row r="231" spans="1:20" x14ac:dyDescent="0.35">
      <c r="A231" s="14" t="s">
        <v>62</v>
      </c>
      <c r="B231" s="15" t="s">
        <v>63</v>
      </c>
      <c r="C231" s="15" t="s">
        <v>93</v>
      </c>
      <c r="D231" s="15" t="s">
        <v>97</v>
      </c>
      <c r="E231" s="15" t="s">
        <v>66</v>
      </c>
      <c r="F231" s="15" t="s">
        <v>83</v>
      </c>
      <c r="G231" s="15" t="s">
        <v>84</v>
      </c>
      <c r="H231" s="15" t="s">
        <v>72</v>
      </c>
      <c r="I231" s="16">
        <v>35463</v>
      </c>
      <c r="J231" s="16">
        <v>27684</v>
      </c>
      <c r="K231" s="16">
        <v>34388</v>
      </c>
      <c r="L231" s="17">
        <v>987.2</v>
      </c>
      <c r="M231" s="17">
        <v>130.80000000000001</v>
      </c>
      <c r="N231" s="17">
        <f t="shared" si="9"/>
        <v>856.40000000000009</v>
      </c>
      <c r="O231" s="17">
        <v>631.9</v>
      </c>
      <c r="P231" s="17">
        <v>824</v>
      </c>
      <c r="Q231" s="17">
        <v>497.8</v>
      </c>
      <c r="R231" s="17">
        <f t="shared" si="10"/>
        <v>358.60000000000008</v>
      </c>
      <c r="S231" s="17">
        <v>374.3</v>
      </c>
      <c r="T231" s="17">
        <f t="shared" si="11"/>
        <v>257.59999999999997</v>
      </c>
    </row>
    <row r="232" spans="1:20" x14ac:dyDescent="0.35">
      <c r="A232" s="14" t="s">
        <v>62</v>
      </c>
      <c r="B232" s="15" t="s">
        <v>63</v>
      </c>
      <c r="C232" s="15" t="s">
        <v>93</v>
      </c>
      <c r="D232" s="15" t="s">
        <v>97</v>
      </c>
      <c r="E232" s="15" t="s">
        <v>89</v>
      </c>
      <c r="F232" s="15" t="s">
        <v>67</v>
      </c>
      <c r="G232" s="15" t="s">
        <v>68</v>
      </c>
      <c r="H232" s="15" t="s">
        <v>69</v>
      </c>
      <c r="I232" s="16">
        <v>610669</v>
      </c>
      <c r="J232" s="16">
        <v>552365</v>
      </c>
      <c r="K232" s="16">
        <v>595523</v>
      </c>
      <c r="L232" s="17">
        <v>2829.5</v>
      </c>
      <c r="M232" s="17">
        <v>199.3</v>
      </c>
      <c r="N232" s="17">
        <f t="shared" si="9"/>
        <v>2630.2</v>
      </c>
      <c r="O232" s="17">
        <v>2265.3000000000002</v>
      </c>
      <c r="P232" s="17">
        <v>2538.3000000000002</v>
      </c>
      <c r="Q232" s="17">
        <v>1440.8</v>
      </c>
      <c r="R232" s="17">
        <f t="shared" si="10"/>
        <v>1189.3999999999999</v>
      </c>
      <c r="S232" s="17">
        <v>1271.7</v>
      </c>
      <c r="T232" s="17">
        <f t="shared" si="11"/>
        <v>993.60000000000014</v>
      </c>
    </row>
    <row r="233" spans="1:20" x14ac:dyDescent="0.35">
      <c r="A233" s="14" t="s">
        <v>62</v>
      </c>
      <c r="B233" s="15" t="s">
        <v>63</v>
      </c>
      <c r="C233" s="15" t="s">
        <v>93</v>
      </c>
      <c r="D233" s="15" t="s">
        <v>97</v>
      </c>
      <c r="E233" s="15" t="s">
        <v>89</v>
      </c>
      <c r="F233" s="15" t="s">
        <v>67</v>
      </c>
      <c r="G233" s="15" t="s">
        <v>68</v>
      </c>
      <c r="H233" s="15" t="s">
        <v>70</v>
      </c>
      <c r="I233" s="16">
        <v>452793</v>
      </c>
      <c r="J233" s="16">
        <v>397891</v>
      </c>
      <c r="K233" s="16">
        <v>438170</v>
      </c>
      <c r="L233" s="17">
        <v>2570.1</v>
      </c>
      <c r="M233" s="17">
        <v>193.8</v>
      </c>
      <c r="N233" s="17">
        <f t="shared" si="9"/>
        <v>2376.2999999999997</v>
      </c>
      <c r="O233" s="17">
        <v>1977.2</v>
      </c>
      <c r="P233" s="17">
        <v>2278.5</v>
      </c>
      <c r="Q233" s="17">
        <v>1366.7</v>
      </c>
      <c r="R233" s="17">
        <f t="shared" si="10"/>
        <v>1009.5999999999997</v>
      </c>
      <c r="S233" s="17">
        <v>1148.5999999999999</v>
      </c>
      <c r="T233" s="17">
        <f t="shared" si="11"/>
        <v>828.60000000000014</v>
      </c>
    </row>
    <row r="234" spans="1:20" x14ac:dyDescent="0.35">
      <c r="A234" s="14" t="s">
        <v>62</v>
      </c>
      <c r="B234" s="15" t="s">
        <v>63</v>
      </c>
      <c r="C234" s="15" t="s">
        <v>93</v>
      </c>
      <c r="D234" s="15" t="s">
        <v>97</v>
      </c>
      <c r="E234" s="15" t="s">
        <v>89</v>
      </c>
      <c r="F234" s="15" t="s">
        <v>67</v>
      </c>
      <c r="G234" s="15" t="s">
        <v>68</v>
      </c>
      <c r="H234" s="15" t="s">
        <v>71</v>
      </c>
      <c r="I234" s="16">
        <v>434995</v>
      </c>
      <c r="J234" s="16">
        <v>396249</v>
      </c>
      <c r="K234" s="16">
        <v>422025</v>
      </c>
      <c r="L234" s="17">
        <v>2914.5</v>
      </c>
      <c r="M234" s="17">
        <v>181.3</v>
      </c>
      <c r="N234" s="17">
        <f t="shared" si="9"/>
        <v>2733.2</v>
      </c>
      <c r="O234" s="17">
        <v>2351</v>
      </c>
      <c r="P234" s="17">
        <v>2647.6</v>
      </c>
      <c r="Q234" s="17">
        <v>1689</v>
      </c>
      <c r="R234" s="17">
        <f t="shared" si="10"/>
        <v>1044.1999999999998</v>
      </c>
      <c r="S234" s="17">
        <v>1480.7</v>
      </c>
      <c r="T234" s="17">
        <f t="shared" si="11"/>
        <v>870.3</v>
      </c>
    </row>
    <row r="235" spans="1:20" x14ac:dyDescent="0.35">
      <c r="A235" s="14" t="s">
        <v>62</v>
      </c>
      <c r="B235" s="15" t="s">
        <v>63</v>
      </c>
      <c r="C235" s="15" t="s">
        <v>93</v>
      </c>
      <c r="D235" s="15" t="s">
        <v>97</v>
      </c>
      <c r="E235" s="15" t="s">
        <v>89</v>
      </c>
      <c r="F235" s="15" t="s">
        <v>67</v>
      </c>
      <c r="G235" s="15" t="s">
        <v>68</v>
      </c>
      <c r="H235" s="15" t="s">
        <v>72</v>
      </c>
      <c r="I235" s="16">
        <v>78497</v>
      </c>
      <c r="J235" s="16">
        <v>70055</v>
      </c>
      <c r="K235" s="16">
        <v>76653</v>
      </c>
      <c r="L235" s="17">
        <v>736</v>
      </c>
      <c r="M235" s="17">
        <v>50</v>
      </c>
      <c r="N235" s="17">
        <f t="shared" si="9"/>
        <v>686</v>
      </c>
      <c r="O235" s="17">
        <v>580.6</v>
      </c>
      <c r="P235" s="17">
        <v>661.4</v>
      </c>
      <c r="Q235" s="17">
        <v>445</v>
      </c>
      <c r="R235" s="17">
        <f t="shared" si="10"/>
        <v>241</v>
      </c>
      <c r="S235" s="17">
        <v>380.3</v>
      </c>
      <c r="T235" s="17">
        <f t="shared" si="11"/>
        <v>200.3</v>
      </c>
    </row>
    <row r="236" spans="1:20" x14ac:dyDescent="0.35">
      <c r="A236" s="14" t="s">
        <v>62</v>
      </c>
      <c r="B236" s="15" t="s">
        <v>63</v>
      </c>
      <c r="C236" s="15" t="s">
        <v>93</v>
      </c>
      <c r="D236" s="15" t="s">
        <v>97</v>
      </c>
      <c r="E236" s="15" t="s">
        <v>89</v>
      </c>
      <c r="F236" s="15" t="s">
        <v>67</v>
      </c>
      <c r="G236" s="15" t="s">
        <v>73</v>
      </c>
      <c r="H236" s="15" t="s">
        <v>71</v>
      </c>
      <c r="I236" s="16">
        <v>116407</v>
      </c>
      <c r="J236" s="16">
        <v>96808</v>
      </c>
      <c r="K236" s="16">
        <v>113690</v>
      </c>
      <c r="L236" s="17">
        <v>800.9</v>
      </c>
      <c r="M236" s="17">
        <v>54.1</v>
      </c>
      <c r="N236" s="17">
        <f t="shared" si="9"/>
        <v>746.8</v>
      </c>
      <c r="O236" s="17">
        <v>595.1</v>
      </c>
      <c r="P236" s="17">
        <v>724.7</v>
      </c>
      <c r="Q236" s="17">
        <v>471.2</v>
      </c>
      <c r="R236" s="17">
        <f t="shared" si="10"/>
        <v>275.59999999999997</v>
      </c>
      <c r="S236" s="17">
        <v>382.4</v>
      </c>
      <c r="T236" s="17">
        <f t="shared" si="11"/>
        <v>212.70000000000005</v>
      </c>
    </row>
    <row r="237" spans="1:20" x14ac:dyDescent="0.35">
      <c r="A237" s="14" t="s">
        <v>62</v>
      </c>
      <c r="B237" s="15" t="s">
        <v>63</v>
      </c>
      <c r="C237" s="15" t="s">
        <v>93</v>
      </c>
      <c r="D237" s="15" t="s">
        <v>97</v>
      </c>
      <c r="E237" s="15" t="s">
        <v>89</v>
      </c>
      <c r="F237" s="15" t="s">
        <v>67</v>
      </c>
      <c r="G237" s="15" t="s">
        <v>73</v>
      </c>
      <c r="H237" s="15" t="s">
        <v>72</v>
      </c>
      <c r="I237" s="16">
        <v>26822</v>
      </c>
      <c r="J237" s="16">
        <v>21929</v>
      </c>
      <c r="K237" s="16">
        <v>26186</v>
      </c>
      <c r="L237" s="17">
        <v>250.9</v>
      </c>
      <c r="M237" s="17">
        <v>19.600000000000001</v>
      </c>
      <c r="N237" s="17">
        <f t="shared" si="9"/>
        <v>231.3</v>
      </c>
      <c r="O237" s="17">
        <v>179.2</v>
      </c>
      <c r="P237" s="17">
        <v>222.9</v>
      </c>
      <c r="Q237" s="17">
        <v>147.5</v>
      </c>
      <c r="R237" s="17">
        <f t="shared" si="10"/>
        <v>83.800000000000011</v>
      </c>
      <c r="S237" s="17">
        <v>115.4</v>
      </c>
      <c r="T237" s="17">
        <f t="shared" si="11"/>
        <v>63.799999999999983</v>
      </c>
    </row>
    <row r="238" spans="1:20" x14ac:dyDescent="0.35">
      <c r="A238" s="14" t="s">
        <v>62</v>
      </c>
      <c r="B238" s="15" t="s">
        <v>63</v>
      </c>
      <c r="C238" s="15" t="s">
        <v>93</v>
      </c>
      <c r="D238" s="15" t="s">
        <v>97</v>
      </c>
      <c r="E238" s="15" t="s">
        <v>89</v>
      </c>
      <c r="F238" s="15" t="s">
        <v>67</v>
      </c>
      <c r="G238" s="15" t="s">
        <v>74</v>
      </c>
      <c r="H238" s="15" t="s">
        <v>70</v>
      </c>
      <c r="I238" s="16">
        <v>175649</v>
      </c>
      <c r="J238" s="16">
        <v>152715</v>
      </c>
      <c r="K238" s="16">
        <v>170296</v>
      </c>
      <c r="L238" s="17">
        <v>916.8</v>
      </c>
      <c r="M238" s="17">
        <v>59.6</v>
      </c>
      <c r="N238" s="17">
        <f t="shared" si="9"/>
        <v>857.19999999999993</v>
      </c>
      <c r="O238" s="17">
        <v>705.9</v>
      </c>
      <c r="P238" s="17">
        <v>824.1</v>
      </c>
      <c r="Q238" s="17">
        <v>501.4</v>
      </c>
      <c r="R238" s="17">
        <f t="shared" si="10"/>
        <v>355.79999999999995</v>
      </c>
      <c r="S238" s="17">
        <v>417.5</v>
      </c>
      <c r="T238" s="17">
        <f t="shared" si="11"/>
        <v>288.39999999999998</v>
      </c>
    </row>
    <row r="239" spans="1:20" x14ac:dyDescent="0.35">
      <c r="A239" s="14" t="s">
        <v>62</v>
      </c>
      <c r="B239" s="15" t="s">
        <v>63</v>
      </c>
      <c r="C239" s="15" t="s">
        <v>93</v>
      </c>
      <c r="D239" s="15" t="s">
        <v>97</v>
      </c>
      <c r="E239" s="15" t="s">
        <v>89</v>
      </c>
      <c r="F239" s="15" t="s">
        <v>67</v>
      </c>
      <c r="G239" s="15" t="s">
        <v>74</v>
      </c>
      <c r="H239" s="15" t="s">
        <v>71</v>
      </c>
      <c r="I239" s="16">
        <v>173911</v>
      </c>
      <c r="J239" s="16">
        <v>157110</v>
      </c>
      <c r="K239" s="16">
        <v>169692</v>
      </c>
      <c r="L239" s="17">
        <v>1167.5999999999999</v>
      </c>
      <c r="M239" s="17">
        <v>71.7</v>
      </c>
      <c r="N239" s="17">
        <f t="shared" si="9"/>
        <v>1095.8999999999999</v>
      </c>
      <c r="O239" s="17">
        <v>950.8</v>
      </c>
      <c r="P239" s="17">
        <v>1062.5999999999999</v>
      </c>
      <c r="Q239" s="17">
        <v>668.6</v>
      </c>
      <c r="R239" s="17">
        <f t="shared" si="10"/>
        <v>427.29999999999984</v>
      </c>
      <c r="S239" s="17">
        <v>589.70000000000005</v>
      </c>
      <c r="T239" s="17">
        <f t="shared" si="11"/>
        <v>361.09999999999991</v>
      </c>
    </row>
    <row r="240" spans="1:20" x14ac:dyDescent="0.35">
      <c r="A240" s="14" t="s">
        <v>62</v>
      </c>
      <c r="B240" s="15" t="s">
        <v>63</v>
      </c>
      <c r="C240" s="15" t="s">
        <v>93</v>
      </c>
      <c r="D240" s="15" t="s">
        <v>97</v>
      </c>
      <c r="E240" s="15" t="s">
        <v>89</v>
      </c>
      <c r="F240" s="15" t="s">
        <v>67</v>
      </c>
      <c r="G240" s="15" t="s">
        <v>75</v>
      </c>
      <c r="H240" s="15" t="s">
        <v>71</v>
      </c>
      <c r="I240" s="16">
        <v>114946</v>
      </c>
      <c r="J240" s="16">
        <v>103473</v>
      </c>
      <c r="K240" s="16">
        <v>112420</v>
      </c>
      <c r="L240" s="17">
        <v>768.5</v>
      </c>
      <c r="M240" s="17">
        <v>53.5</v>
      </c>
      <c r="N240" s="17">
        <f t="shared" si="9"/>
        <v>715</v>
      </c>
      <c r="O240" s="17">
        <v>610.5</v>
      </c>
      <c r="P240" s="17">
        <v>683.9</v>
      </c>
      <c r="Q240" s="17">
        <v>433.4</v>
      </c>
      <c r="R240" s="17">
        <f t="shared" si="10"/>
        <v>281.60000000000002</v>
      </c>
      <c r="S240" s="17">
        <v>378.3</v>
      </c>
      <c r="T240" s="17">
        <f t="shared" si="11"/>
        <v>232.2</v>
      </c>
    </row>
    <row r="241" spans="1:20" x14ac:dyDescent="0.35">
      <c r="A241" s="14" t="s">
        <v>62</v>
      </c>
      <c r="B241" s="15" t="s">
        <v>63</v>
      </c>
      <c r="C241" s="15" t="s">
        <v>93</v>
      </c>
      <c r="D241" s="15" t="s">
        <v>97</v>
      </c>
      <c r="E241" s="15" t="s">
        <v>89</v>
      </c>
      <c r="F241" s="15" t="s">
        <v>67</v>
      </c>
      <c r="G241" s="15" t="s">
        <v>76</v>
      </c>
      <c r="H241" s="15" t="s">
        <v>72</v>
      </c>
      <c r="I241" s="16">
        <v>21612</v>
      </c>
      <c r="J241" s="16">
        <v>19012</v>
      </c>
      <c r="K241" s="16">
        <v>20831</v>
      </c>
      <c r="L241" s="17">
        <v>245.9</v>
      </c>
      <c r="M241" s="17">
        <v>18.100000000000001</v>
      </c>
      <c r="N241" s="17">
        <f t="shared" si="9"/>
        <v>227.8</v>
      </c>
      <c r="O241" s="17">
        <v>189.9</v>
      </c>
      <c r="P241" s="17">
        <v>218.9</v>
      </c>
      <c r="Q241" s="17">
        <v>139.30000000000001</v>
      </c>
      <c r="R241" s="17">
        <f t="shared" si="10"/>
        <v>88.5</v>
      </c>
      <c r="S241" s="17">
        <v>117.4</v>
      </c>
      <c r="T241" s="17">
        <f t="shared" si="11"/>
        <v>72.5</v>
      </c>
    </row>
    <row r="242" spans="1:20" x14ac:dyDescent="0.35">
      <c r="A242" s="14" t="s">
        <v>62</v>
      </c>
      <c r="B242" s="15" t="s">
        <v>63</v>
      </c>
      <c r="C242" s="15" t="s">
        <v>93</v>
      </c>
      <c r="D242" s="15" t="s">
        <v>97</v>
      </c>
      <c r="E242" s="15" t="s">
        <v>89</v>
      </c>
      <c r="F242" s="15" t="s">
        <v>79</v>
      </c>
      <c r="G242" s="15" t="s">
        <v>95</v>
      </c>
      <c r="H242" s="15" t="s">
        <v>71</v>
      </c>
      <c r="I242" s="16">
        <v>137009</v>
      </c>
      <c r="J242" s="16">
        <v>121597</v>
      </c>
      <c r="K242" s="16">
        <v>132461</v>
      </c>
      <c r="L242" s="17">
        <v>561.9</v>
      </c>
      <c r="M242" s="17">
        <v>44.6</v>
      </c>
      <c r="N242" s="17">
        <f t="shared" si="9"/>
        <v>517.29999999999995</v>
      </c>
      <c r="O242" s="17">
        <v>437.5</v>
      </c>
      <c r="P242" s="17">
        <v>497.4</v>
      </c>
      <c r="Q242" s="17">
        <v>312.89999999999998</v>
      </c>
      <c r="R242" s="17">
        <f t="shared" si="10"/>
        <v>204.39999999999998</v>
      </c>
      <c r="S242" s="17">
        <v>270.8</v>
      </c>
      <c r="T242" s="17">
        <f t="shared" si="11"/>
        <v>166.7</v>
      </c>
    </row>
    <row r="243" spans="1:20" x14ac:dyDescent="0.35">
      <c r="A243" s="14" t="s">
        <v>62</v>
      </c>
      <c r="B243" s="15" t="s">
        <v>63</v>
      </c>
      <c r="C243" s="15" t="s">
        <v>93</v>
      </c>
      <c r="D243" s="15" t="s">
        <v>97</v>
      </c>
      <c r="E243" s="15" t="s">
        <v>89</v>
      </c>
      <c r="F243" s="15" t="s">
        <v>81</v>
      </c>
      <c r="G243" s="15" t="s">
        <v>82</v>
      </c>
      <c r="H243" s="15" t="s">
        <v>71</v>
      </c>
      <c r="I243" s="16">
        <v>46269</v>
      </c>
      <c r="J243" s="16">
        <v>40240</v>
      </c>
      <c r="K243" s="16">
        <v>44713</v>
      </c>
      <c r="L243" s="17">
        <v>423.7</v>
      </c>
      <c r="M243" s="17">
        <v>30</v>
      </c>
      <c r="N243" s="17">
        <f t="shared" si="9"/>
        <v>393.7</v>
      </c>
      <c r="O243" s="17">
        <v>326.3</v>
      </c>
      <c r="P243" s="17">
        <v>380.2</v>
      </c>
      <c r="Q243" s="17">
        <v>246.5</v>
      </c>
      <c r="R243" s="17">
        <f t="shared" si="10"/>
        <v>147.19999999999999</v>
      </c>
      <c r="S243" s="17">
        <v>206.8</v>
      </c>
      <c r="T243" s="17">
        <f t="shared" si="11"/>
        <v>119.5</v>
      </c>
    </row>
    <row r="244" spans="1:20" x14ac:dyDescent="0.35">
      <c r="A244" s="14" t="s">
        <v>62</v>
      </c>
      <c r="B244" s="15" t="s">
        <v>63</v>
      </c>
      <c r="C244" s="15" t="s">
        <v>93</v>
      </c>
      <c r="D244" s="15" t="s">
        <v>97</v>
      </c>
      <c r="E244" s="15" t="s">
        <v>89</v>
      </c>
      <c r="F244" s="15" t="s">
        <v>83</v>
      </c>
      <c r="G244" s="15" t="s">
        <v>84</v>
      </c>
      <c r="H244" s="15" t="s">
        <v>72</v>
      </c>
      <c r="I244" s="16">
        <v>16937</v>
      </c>
      <c r="J244" s="16">
        <v>13288</v>
      </c>
      <c r="K244" s="16">
        <v>16476</v>
      </c>
      <c r="L244" s="17">
        <v>469.4</v>
      </c>
      <c r="M244" s="17">
        <v>31.8</v>
      </c>
      <c r="N244" s="17">
        <f t="shared" si="9"/>
        <v>437.59999999999997</v>
      </c>
      <c r="O244" s="17">
        <v>327.7</v>
      </c>
      <c r="P244" s="17">
        <v>422.1</v>
      </c>
      <c r="Q244" s="17">
        <v>259.8</v>
      </c>
      <c r="R244" s="17">
        <f t="shared" si="10"/>
        <v>177.79999999999995</v>
      </c>
      <c r="S244" s="17">
        <v>196.7</v>
      </c>
      <c r="T244" s="17">
        <f t="shared" si="11"/>
        <v>131</v>
      </c>
    </row>
    <row r="245" spans="1:20" x14ac:dyDescent="0.35">
      <c r="A245" s="14" t="s">
        <v>62</v>
      </c>
      <c r="B245" s="15" t="s">
        <v>63</v>
      </c>
      <c r="C245" s="15" t="s">
        <v>93</v>
      </c>
      <c r="D245" s="15" t="s">
        <v>97</v>
      </c>
      <c r="E245" s="15" t="s">
        <v>90</v>
      </c>
      <c r="F245" s="15" t="s">
        <v>67</v>
      </c>
      <c r="G245" s="15" t="s">
        <v>68</v>
      </c>
      <c r="H245" s="15" t="s">
        <v>69</v>
      </c>
      <c r="I245" s="16">
        <v>189136</v>
      </c>
      <c r="J245" s="16">
        <v>174995</v>
      </c>
      <c r="K245" s="16">
        <v>184556</v>
      </c>
      <c r="L245" s="17">
        <v>796.6</v>
      </c>
      <c r="M245" s="17">
        <v>82.9</v>
      </c>
      <c r="N245" s="17">
        <f t="shared" si="9"/>
        <v>713.7</v>
      </c>
      <c r="O245" s="17">
        <v>631</v>
      </c>
      <c r="P245" s="17">
        <v>680.9</v>
      </c>
      <c r="Q245" s="17">
        <v>393.2</v>
      </c>
      <c r="R245" s="17">
        <f t="shared" si="10"/>
        <v>320.50000000000006</v>
      </c>
      <c r="S245" s="17">
        <v>354.9</v>
      </c>
      <c r="T245" s="17">
        <f t="shared" si="11"/>
        <v>276.10000000000002</v>
      </c>
    </row>
    <row r="246" spans="1:20" x14ac:dyDescent="0.35">
      <c r="A246" s="14" t="s">
        <v>62</v>
      </c>
      <c r="B246" s="15" t="s">
        <v>63</v>
      </c>
      <c r="C246" s="15" t="s">
        <v>93</v>
      </c>
      <c r="D246" s="15" t="s">
        <v>97</v>
      </c>
      <c r="E246" s="15" t="s">
        <v>90</v>
      </c>
      <c r="F246" s="15" t="s">
        <v>67</v>
      </c>
      <c r="G246" s="15" t="s">
        <v>68</v>
      </c>
      <c r="H246" s="15" t="s">
        <v>70</v>
      </c>
      <c r="I246" s="16">
        <v>147556</v>
      </c>
      <c r="J246" s="16">
        <v>132552</v>
      </c>
      <c r="K246" s="16">
        <v>142818</v>
      </c>
      <c r="L246" s="17">
        <v>722.6</v>
      </c>
      <c r="M246" s="17">
        <v>79.7</v>
      </c>
      <c r="N246" s="17">
        <f t="shared" si="9"/>
        <v>642.9</v>
      </c>
      <c r="O246" s="17">
        <v>548</v>
      </c>
      <c r="P246" s="17">
        <v>613.29999999999995</v>
      </c>
      <c r="Q246" s="17">
        <v>376</v>
      </c>
      <c r="R246" s="17">
        <f t="shared" si="10"/>
        <v>266.89999999999998</v>
      </c>
      <c r="S246" s="17">
        <v>326.60000000000002</v>
      </c>
      <c r="T246" s="17">
        <f t="shared" si="11"/>
        <v>221.39999999999998</v>
      </c>
    </row>
    <row r="247" spans="1:20" x14ac:dyDescent="0.35">
      <c r="A247" s="14" t="s">
        <v>62</v>
      </c>
      <c r="B247" s="15" t="s">
        <v>63</v>
      </c>
      <c r="C247" s="15" t="s">
        <v>93</v>
      </c>
      <c r="D247" s="15" t="s">
        <v>97</v>
      </c>
      <c r="E247" s="15" t="s">
        <v>90</v>
      </c>
      <c r="F247" s="15" t="s">
        <v>67</v>
      </c>
      <c r="G247" s="15" t="s">
        <v>68</v>
      </c>
      <c r="H247" s="15" t="s">
        <v>71</v>
      </c>
      <c r="I247" s="16">
        <v>234112</v>
      </c>
      <c r="J247" s="16">
        <v>213582</v>
      </c>
      <c r="K247" s="16">
        <v>227456</v>
      </c>
      <c r="L247" s="17">
        <v>1441.3</v>
      </c>
      <c r="M247" s="17">
        <v>152</v>
      </c>
      <c r="N247" s="17">
        <f t="shared" si="9"/>
        <v>1289.3</v>
      </c>
      <c r="O247" s="17">
        <v>1124.5</v>
      </c>
      <c r="P247" s="17">
        <v>1244.5</v>
      </c>
      <c r="Q247" s="17">
        <v>804.7</v>
      </c>
      <c r="R247" s="17">
        <f t="shared" si="10"/>
        <v>484.59999999999991</v>
      </c>
      <c r="S247" s="17">
        <v>709.1</v>
      </c>
      <c r="T247" s="17">
        <f t="shared" si="11"/>
        <v>415.4</v>
      </c>
    </row>
    <row r="248" spans="1:20" x14ac:dyDescent="0.35">
      <c r="A248" s="14" t="s">
        <v>62</v>
      </c>
      <c r="B248" s="15" t="s">
        <v>63</v>
      </c>
      <c r="C248" s="15" t="s">
        <v>93</v>
      </c>
      <c r="D248" s="15" t="s">
        <v>97</v>
      </c>
      <c r="E248" s="15" t="s">
        <v>90</v>
      </c>
      <c r="F248" s="15" t="s">
        <v>67</v>
      </c>
      <c r="G248" s="15" t="s">
        <v>68</v>
      </c>
      <c r="H248" s="15" t="s">
        <v>72</v>
      </c>
      <c r="I248" s="16">
        <v>62543</v>
      </c>
      <c r="J248" s="16">
        <v>55519</v>
      </c>
      <c r="K248" s="16">
        <v>60753</v>
      </c>
      <c r="L248" s="17">
        <v>527</v>
      </c>
      <c r="M248" s="17">
        <v>62.4</v>
      </c>
      <c r="N248" s="17">
        <f t="shared" si="9"/>
        <v>464.6</v>
      </c>
      <c r="O248" s="17">
        <v>390.8</v>
      </c>
      <c r="P248" s="17">
        <v>442.8</v>
      </c>
      <c r="Q248" s="17">
        <v>293.39999999999998</v>
      </c>
      <c r="R248" s="17">
        <f t="shared" si="10"/>
        <v>171.20000000000005</v>
      </c>
      <c r="S248" s="17">
        <v>250.3</v>
      </c>
      <c r="T248" s="17">
        <f t="shared" si="11"/>
        <v>140.5</v>
      </c>
    </row>
    <row r="249" spans="1:20" x14ac:dyDescent="0.35">
      <c r="A249" s="14" t="s">
        <v>62</v>
      </c>
      <c r="B249" s="15" t="s">
        <v>63</v>
      </c>
      <c r="C249" s="15" t="s">
        <v>93</v>
      </c>
      <c r="D249" s="15" t="s">
        <v>97</v>
      </c>
      <c r="E249" s="15" t="s">
        <v>90</v>
      </c>
      <c r="F249" s="15" t="s">
        <v>67</v>
      </c>
      <c r="G249" s="15" t="s">
        <v>73</v>
      </c>
      <c r="H249" s="15" t="s">
        <v>71</v>
      </c>
      <c r="I249" s="16">
        <v>61224</v>
      </c>
      <c r="J249" s="16">
        <v>51466</v>
      </c>
      <c r="K249" s="16">
        <v>59055</v>
      </c>
      <c r="L249" s="17">
        <v>393.1</v>
      </c>
      <c r="M249" s="17">
        <v>46</v>
      </c>
      <c r="N249" s="17">
        <f t="shared" si="9"/>
        <v>347.1</v>
      </c>
      <c r="O249" s="17">
        <v>280.39999999999998</v>
      </c>
      <c r="P249" s="17">
        <v>332.3</v>
      </c>
      <c r="Q249" s="17">
        <v>218.1</v>
      </c>
      <c r="R249" s="17">
        <f t="shared" si="10"/>
        <v>129.00000000000003</v>
      </c>
      <c r="S249" s="17">
        <v>177.4</v>
      </c>
      <c r="T249" s="17">
        <f t="shared" si="11"/>
        <v>102.99999999999997</v>
      </c>
    </row>
    <row r="250" spans="1:20" x14ac:dyDescent="0.35">
      <c r="A250" s="14" t="s">
        <v>62</v>
      </c>
      <c r="B250" s="15" t="s">
        <v>63</v>
      </c>
      <c r="C250" s="15" t="s">
        <v>93</v>
      </c>
      <c r="D250" s="15" t="s">
        <v>97</v>
      </c>
      <c r="E250" s="15" t="s">
        <v>90</v>
      </c>
      <c r="F250" s="15" t="s">
        <v>67</v>
      </c>
      <c r="G250" s="15" t="s">
        <v>73</v>
      </c>
      <c r="H250" s="15" t="s">
        <v>72</v>
      </c>
      <c r="I250" s="16">
        <v>22793</v>
      </c>
      <c r="J250" s="16">
        <v>18526</v>
      </c>
      <c r="K250" s="16">
        <v>22042</v>
      </c>
      <c r="L250" s="17">
        <v>198.6</v>
      </c>
      <c r="M250" s="17">
        <v>20.5</v>
      </c>
      <c r="N250" s="17">
        <f t="shared" si="9"/>
        <v>178.1</v>
      </c>
      <c r="O250" s="17">
        <v>137.30000000000001</v>
      </c>
      <c r="P250" s="17">
        <v>172.3</v>
      </c>
      <c r="Q250" s="17">
        <v>112.7</v>
      </c>
      <c r="R250" s="17">
        <f t="shared" si="10"/>
        <v>65.399999999999991</v>
      </c>
      <c r="S250" s="17">
        <v>87.6</v>
      </c>
      <c r="T250" s="17">
        <f t="shared" si="11"/>
        <v>49.700000000000017</v>
      </c>
    </row>
    <row r="251" spans="1:20" x14ac:dyDescent="0.35">
      <c r="A251" s="14" t="s">
        <v>62</v>
      </c>
      <c r="B251" s="15" t="s">
        <v>63</v>
      </c>
      <c r="C251" s="15" t="s">
        <v>93</v>
      </c>
      <c r="D251" s="15" t="s">
        <v>97</v>
      </c>
      <c r="E251" s="15" t="s">
        <v>90</v>
      </c>
      <c r="F251" s="15" t="s">
        <v>67</v>
      </c>
      <c r="G251" s="15" t="s">
        <v>74</v>
      </c>
      <c r="H251" s="15" t="s">
        <v>70</v>
      </c>
      <c r="I251" s="16">
        <v>63206</v>
      </c>
      <c r="J251" s="16">
        <v>56508</v>
      </c>
      <c r="K251" s="16">
        <v>61285</v>
      </c>
      <c r="L251" s="17">
        <v>316.5</v>
      </c>
      <c r="M251" s="17">
        <v>36.799999999999997</v>
      </c>
      <c r="N251" s="17">
        <f t="shared" si="9"/>
        <v>279.7</v>
      </c>
      <c r="O251" s="17">
        <v>236.8</v>
      </c>
      <c r="P251" s="17">
        <v>268.39999999999998</v>
      </c>
      <c r="Q251" s="17">
        <v>156.19999999999999</v>
      </c>
      <c r="R251" s="17">
        <f t="shared" si="10"/>
        <v>123.5</v>
      </c>
      <c r="S251" s="17">
        <v>133.5</v>
      </c>
      <c r="T251" s="17">
        <f t="shared" si="11"/>
        <v>103.30000000000001</v>
      </c>
    </row>
    <row r="252" spans="1:20" x14ac:dyDescent="0.35">
      <c r="A252" s="14" t="s">
        <v>62</v>
      </c>
      <c r="B252" s="15" t="s">
        <v>63</v>
      </c>
      <c r="C252" s="15" t="s">
        <v>93</v>
      </c>
      <c r="D252" s="15" t="s">
        <v>97</v>
      </c>
      <c r="E252" s="15" t="s">
        <v>90</v>
      </c>
      <c r="F252" s="15" t="s">
        <v>67</v>
      </c>
      <c r="G252" s="15" t="s">
        <v>74</v>
      </c>
      <c r="H252" s="15" t="s">
        <v>71</v>
      </c>
      <c r="I252" s="16">
        <v>90096</v>
      </c>
      <c r="J252" s="16">
        <v>81718</v>
      </c>
      <c r="K252" s="16">
        <v>87873</v>
      </c>
      <c r="L252" s="17">
        <v>567.20000000000005</v>
      </c>
      <c r="M252" s="17">
        <v>67.7</v>
      </c>
      <c r="N252" s="17">
        <f t="shared" si="9"/>
        <v>499.50000000000006</v>
      </c>
      <c r="O252" s="17">
        <v>435.3</v>
      </c>
      <c r="P252" s="17">
        <v>482.9</v>
      </c>
      <c r="Q252" s="17">
        <v>303.10000000000002</v>
      </c>
      <c r="R252" s="17">
        <f t="shared" si="10"/>
        <v>196.40000000000003</v>
      </c>
      <c r="S252" s="17">
        <v>269.8</v>
      </c>
      <c r="T252" s="17">
        <f t="shared" si="11"/>
        <v>165.5</v>
      </c>
    </row>
    <row r="253" spans="1:20" x14ac:dyDescent="0.35">
      <c r="A253" s="14" t="s">
        <v>62</v>
      </c>
      <c r="B253" s="15" t="s">
        <v>63</v>
      </c>
      <c r="C253" s="15" t="s">
        <v>93</v>
      </c>
      <c r="D253" s="15" t="s">
        <v>97</v>
      </c>
      <c r="E253" s="15" t="s">
        <v>90</v>
      </c>
      <c r="F253" s="15" t="s">
        <v>67</v>
      </c>
      <c r="G253" s="15" t="s">
        <v>75</v>
      </c>
      <c r="H253" s="15" t="s">
        <v>71</v>
      </c>
      <c r="I253" s="16">
        <v>68180</v>
      </c>
      <c r="J253" s="16">
        <v>61236</v>
      </c>
      <c r="K253" s="16">
        <v>66601</v>
      </c>
      <c r="L253" s="17">
        <v>432.1</v>
      </c>
      <c r="M253" s="17">
        <v>50.4</v>
      </c>
      <c r="N253" s="17">
        <f t="shared" si="9"/>
        <v>381.70000000000005</v>
      </c>
      <c r="O253" s="17">
        <v>325.60000000000002</v>
      </c>
      <c r="P253" s="17">
        <v>367.7</v>
      </c>
      <c r="Q253" s="17">
        <v>235.8</v>
      </c>
      <c r="R253" s="17">
        <f t="shared" si="10"/>
        <v>145.90000000000003</v>
      </c>
      <c r="S253" s="17">
        <v>202.6</v>
      </c>
      <c r="T253" s="17">
        <f t="shared" si="11"/>
        <v>123.00000000000003</v>
      </c>
    </row>
    <row r="254" spans="1:20" x14ac:dyDescent="0.35">
      <c r="A254" s="14" t="s">
        <v>62</v>
      </c>
      <c r="B254" s="15" t="s">
        <v>63</v>
      </c>
      <c r="C254" s="15" t="s">
        <v>93</v>
      </c>
      <c r="D254" s="15" t="s">
        <v>97</v>
      </c>
      <c r="E254" s="15" t="s">
        <v>90</v>
      </c>
      <c r="F254" s="15" t="s">
        <v>67</v>
      </c>
      <c r="G254" s="15" t="s">
        <v>76</v>
      </c>
      <c r="H254" s="15" t="s">
        <v>72</v>
      </c>
      <c r="I254" s="16">
        <v>16140</v>
      </c>
      <c r="J254" s="16">
        <v>14038</v>
      </c>
      <c r="K254" s="16">
        <v>15566</v>
      </c>
      <c r="L254" s="17">
        <v>164.3</v>
      </c>
      <c r="M254" s="17">
        <v>18.5</v>
      </c>
      <c r="N254" s="17">
        <f t="shared" si="9"/>
        <v>145.80000000000001</v>
      </c>
      <c r="O254" s="17">
        <v>121</v>
      </c>
      <c r="P254" s="17">
        <v>140.30000000000001</v>
      </c>
      <c r="Q254" s="17">
        <v>88.6</v>
      </c>
      <c r="R254" s="17">
        <f t="shared" si="10"/>
        <v>57.200000000000017</v>
      </c>
      <c r="S254" s="17">
        <v>74.3</v>
      </c>
      <c r="T254" s="17">
        <f t="shared" si="11"/>
        <v>46.7</v>
      </c>
    </row>
    <row r="255" spans="1:20" x14ac:dyDescent="0.35">
      <c r="A255" s="14" t="s">
        <v>62</v>
      </c>
      <c r="B255" s="15" t="s">
        <v>63</v>
      </c>
      <c r="C255" s="15" t="s">
        <v>93</v>
      </c>
      <c r="D255" s="15" t="s">
        <v>97</v>
      </c>
      <c r="E255" s="15" t="s">
        <v>90</v>
      </c>
      <c r="F255" s="15" t="s">
        <v>79</v>
      </c>
      <c r="G255" s="15" t="s">
        <v>95</v>
      </c>
      <c r="H255" s="15" t="s">
        <v>71</v>
      </c>
      <c r="I255" s="16">
        <v>71250</v>
      </c>
      <c r="J255" s="16">
        <v>62976</v>
      </c>
      <c r="K255" s="16">
        <v>69615</v>
      </c>
      <c r="L255" s="17">
        <v>266.5</v>
      </c>
      <c r="M255" s="17">
        <v>27.7</v>
      </c>
      <c r="N255" s="17">
        <f t="shared" si="9"/>
        <v>238.8</v>
      </c>
      <c r="O255" s="17">
        <v>199.8</v>
      </c>
      <c r="P255" s="17">
        <v>229.2</v>
      </c>
      <c r="Q255" s="17">
        <v>141</v>
      </c>
      <c r="R255" s="17">
        <f t="shared" si="10"/>
        <v>97.800000000000011</v>
      </c>
      <c r="S255" s="17">
        <v>120.9</v>
      </c>
      <c r="T255" s="17">
        <f t="shared" si="11"/>
        <v>78.900000000000006</v>
      </c>
    </row>
    <row r="256" spans="1:20" x14ac:dyDescent="0.35">
      <c r="A256" s="14" t="s">
        <v>62</v>
      </c>
      <c r="B256" s="15" t="s">
        <v>63</v>
      </c>
      <c r="C256" s="15" t="s">
        <v>93</v>
      </c>
      <c r="D256" s="15" t="s">
        <v>97</v>
      </c>
      <c r="E256" s="15" t="s">
        <v>90</v>
      </c>
      <c r="F256" s="15" t="s">
        <v>81</v>
      </c>
      <c r="G256" s="15" t="s">
        <v>82</v>
      </c>
      <c r="H256" s="15" t="s">
        <v>71</v>
      </c>
      <c r="I256" s="16">
        <v>21107</v>
      </c>
      <c r="J256" s="16">
        <v>18280</v>
      </c>
      <c r="K256" s="16">
        <v>20641</v>
      </c>
      <c r="L256" s="17">
        <v>174</v>
      </c>
      <c r="M256" s="17">
        <v>18.3</v>
      </c>
      <c r="N256" s="17">
        <f t="shared" si="9"/>
        <v>155.69999999999999</v>
      </c>
      <c r="O256" s="17">
        <v>128.1</v>
      </c>
      <c r="P256" s="17">
        <v>150</v>
      </c>
      <c r="Q256" s="17">
        <v>94.6</v>
      </c>
      <c r="R256" s="17">
        <f t="shared" si="10"/>
        <v>61.099999999999994</v>
      </c>
      <c r="S256" s="17">
        <v>79.3</v>
      </c>
      <c r="T256" s="17">
        <f t="shared" si="11"/>
        <v>48.8</v>
      </c>
    </row>
    <row r="257" spans="1:20" x14ac:dyDescent="0.35">
      <c r="A257" s="14" t="s">
        <v>62</v>
      </c>
      <c r="B257" s="15" t="s">
        <v>63</v>
      </c>
      <c r="C257" s="15" t="s">
        <v>93</v>
      </c>
      <c r="D257" s="15" t="s">
        <v>97</v>
      </c>
      <c r="E257" s="15" t="s">
        <v>90</v>
      </c>
      <c r="F257" s="15" t="s">
        <v>83</v>
      </c>
      <c r="G257" s="15" t="s">
        <v>84</v>
      </c>
      <c r="H257" s="15" t="s">
        <v>72</v>
      </c>
      <c r="I257" s="16">
        <v>12809</v>
      </c>
      <c r="J257" s="16">
        <v>10067</v>
      </c>
      <c r="K257" s="16">
        <v>12466</v>
      </c>
      <c r="L257" s="17">
        <v>321.5</v>
      </c>
      <c r="M257" s="17">
        <v>37.4</v>
      </c>
      <c r="N257" s="17">
        <f t="shared" si="9"/>
        <v>284.10000000000002</v>
      </c>
      <c r="O257" s="17">
        <v>212.4</v>
      </c>
      <c r="P257" s="17">
        <v>273</v>
      </c>
      <c r="Q257" s="17">
        <v>164.5</v>
      </c>
      <c r="R257" s="17">
        <f t="shared" si="10"/>
        <v>119.60000000000002</v>
      </c>
      <c r="S257" s="17">
        <v>125.5</v>
      </c>
      <c r="T257" s="17">
        <f t="shared" si="11"/>
        <v>86.9</v>
      </c>
    </row>
    <row r="258" spans="1:20" x14ac:dyDescent="0.35">
      <c r="A258" s="14" t="s">
        <v>62</v>
      </c>
      <c r="B258" s="15" t="s">
        <v>63</v>
      </c>
      <c r="C258" s="15" t="s">
        <v>93</v>
      </c>
      <c r="D258" s="15" t="s">
        <v>97</v>
      </c>
      <c r="E258" s="15" t="s">
        <v>91</v>
      </c>
      <c r="F258" s="15" t="s">
        <v>67</v>
      </c>
      <c r="G258" s="15" t="s">
        <v>68</v>
      </c>
      <c r="H258" s="15" t="s">
        <v>69</v>
      </c>
      <c r="I258" s="16">
        <v>133262</v>
      </c>
      <c r="J258" s="16">
        <v>116935</v>
      </c>
      <c r="K258" s="16">
        <v>128598</v>
      </c>
      <c r="L258" s="17">
        <v>684.6</v>
      </c>
      <c r="M258" s="17">
        <v>38.5</v>
      </c>
      <c r="N258" s="17">
        <f t="shared" si="9"/>
        <v>646.1</v>
      </c>
      <c r="O258" s="17">
        <v>541.5</v>
      </c>
      <c r="P258" s="17">
        <v>617.9</v>
      </c>
      <c r="Q258" s="17">
        <v>356.6</v>
      </c>
      <c r="R258" s="17">
        <f t="shared" si="10"/>
        <v>289.5</v>
      </c>
      <c r="S258" s="17">
        <v>302.3</v>
      </c>
      <c r="T258" s="17">
        <f t="shared" si="11"/>
        <v>239.2</v>
      </c>
    </row>
    <row r="259" spans="1:20" x14ac:dyDescent="0.35">
      <c r="A259" s="14" t="s">
        <v>62</v>
      </c>
      <c r="B259" s="15" t="s">
        <v>63</v>
      </c>
      <c r="C259" s="15" t="s">
        <v>93</v>
      </c>
      <c r="D259" s="15" t="s">
        <v>97</v>
      </c>
      <c r="E259" s="15" t="s">
        <v>91</v>
      </c>
      <c r="F259" s="15" t="s">
        <v>67</v>
      </c>
      <c r="G259" s="15" t="s">
        <v>68</v>
      </c>
      <c r="H259" s="15" t="s">
        <v>70</v>
      </c>
      <c r="I259" s="16">
        <v>37463</v>
      </c>
      <c r="J259" s="16">
        <v>32454</v>
      </c>
      <c r="K259" s="16">
        <v>36613</v>
      </c>
      <c r="L259" s="17">
        <v>215.6</v>
      </c>
      <c r="M259" s="17">
        <v>12.1</v>
      </c>
      <c r="N259" s="17">
        <f t="shared" si="9"/>
        <v>203.5</v>
      </c>
      <c r="O259" s="17">
        <v>167</v>
      </c>
      <c r="P259" s="17">
        <v>196.6</v>
      </c>
      <c r="Q259" s="17">
        <v>113.1</v>
      </c>
      <c r="R259" s="17">
        <f t="shared" si="10"/>
        <v>90.4</v>
      </c>
      <c r="S259" s="17">
        <v>93.9</v>
      </c>
      <c r="T259" s="17">
        <f t="shared" si="11"/>
        <v>73.099999999999994</v>
      </c>
    </row>
    <row r="260" spans="1:20" x14ac:dyDescent="0.35">
      <c r="A260" s="14" t="s">
        <v>62</v>
      </c>
      <c r="B260" s="15" t="s">
        <v>63</v>
      </c>
      <c r="C260" s="15" t="s">
        <v>93</v>
      </c>
      <c r="D260" s="15" t="s">
        <v>97</v>
      </c>
      <c r="E260" s="15" t="s">
        <v>91</v>
      </c>
      <c r="F260" s="15" t="s">
        <v>67</v>
      </c>
      <c r="G260" s="15" t="s">
        <v>68</v>
      </c>
      <c r="H260" s="15" t="s">
        <v>71</v>
      </c>
      <c r="I260" s="16">
        <v>71806</v>
      </c>
      <c r="J260" s="16">
        <v>62972</v>
      </c>
      <c r="K260" s="16">
        <v>69248</v>
      </c>
      <c r="L260" s="17">
        <v>532.1</v>
      </c>
      <c r="M260" s="17">
        <v>25.8</v>
      </c>
      <c r="N260" s="17">
        <f t="shared" ref="N260:N323" si="12">L260-M260</f>
        <v>506.3</v>
      </c>
      <c r="O260" s="17">
        <v>425.8</v>
      </c>
      <c r="P260" s="17">
        <v>485.8</v>
      </c>
      <c r="Q260" s="17">
        <v>307.5</v>
      </c>
      <c r="R260" s="17">
        <f t="shared" ref="R260:R323" si="13">N260-Q260</f>
        <v>198.8</v>
      </c>
      <c r="S260" s="17">
        <v>262.7</v>
      </c>
      <c r="T260" s="17">
        <f t="shared" ref="T260:T323" si="14">O260-S260</f>
        <v>163.10000000000002</v>
      </c>
    </row>
    <row r="261" spans="1:20" x14ac:dyDescent="0.35">
      <c r="A261" s="14" t="s">
        <v>62</v>
      </c>
      <c r="B261" s="15" t="s">
        <v>63</v>
      </c>
      <c r="C261" s="15" t="s">
        <v>93</v>
      </c>
      <c r="D261" s="15" t="s">
        <v>97</v>
      </c>
      <c r="E261" s="15" t="s">
        <v>91</v>
      </c>
      <c r="F261" s="15" t="s">
        <v>67</v>
      </c>
      <c r="G261" s="15" t="s">
        <v>68</v>
      </c>
      <c r="H261" s="15" t="s">
        <v>72</v>
      </c>
      <c r="I261" s="16">
        <v>37759</v>
      </c>
      <c r="J261" s="16">
        <v>32587</v>
      </c>
      <c r="K261" s="16">
        <v>36429</v>
      </c>
      <c r="L261" s="17">
        <v>377.3</v>
      </c>
      <c r="M261" s="17">
        <v>21.7</v>
      </c>
      <c r="N261" s="17">
        <f t="shared" si="12"/>
        <v>355.6</v>
      </c>
      <c r="O261" s="17">
        <v>293.89999999999998</v>
      </c>
      <c r="P261" s="17">
        <v>342.9</v>
      </c>
      <c r="Q261" s="17">
        <v>223.5</v>
      </c>
      <c r="R261" s="17">
        <f t="shared" si="13"/>
        <v>132.10000000000002</v>
      </c>
      <c r="S261" s="17">
        <v>186.4</v>
      </c>
      <c r="T261" s="17">
        <f t="shared" si="14"/>
        <v>107.49999999999997</v>
      </c>
    </row>
    <row r="262" spans="1:20" x14ac:dyDescent="0.35">
      <c r="A262" s="14" t="s">
        <v>62</v>
      </c>
      <c r="B262" s="15" t="s">
        <v>63</v>
      </c>
      <c r="C262" s="15" t="s">
        <v>93</v>
      </c>
      <c r="D262" s="15" t="s">
        <v>97</v>
      </c>
      <c r="E262" s="15" t="s">
        <v>91</v>
      </c>
      <c r="F262" s="15" t="s">
        <v>67</v>
      </c>
      <c r="G262" s="15" t="s">
        <v>73</v>
      </c>
      <c r="H262" s="15" t="s">
        <v>71</v>
      </c>
      <c r="I262" s="16">
        <v>19057</v>
      </c>
      <c r="J262" s="16">
        <v>15418</v>
      </c>
      <c r="K262" s="16">
        <v>18517</v>
      </c>
      <c r="L262" s="17">
        <v>142.19999999999999</v>
      </c>
      <c r="M262" s="17">
        <v>7.9</v>
      </c>
      <c r="N262" s="17">
        <f t="shared" si="12"/>
        <v>134.29999999999998</v>
      </c>
      <c r="O262" s="17">
        <v>104.4</v>
      </c>
      <c r="P262" s="17">
        <v>130</v>
      </c>
      <c r="Q262" s="17">
        <v>84.6</v>
      </c>
      <c r="R262" s="17">
        <f t="shared" si="13"/>
        <v>49.699999999999989</v>
      </c>
      <c r="S262" s="17">
        <v>66.8</v>
      </c>
      <c r="T262" s="17">
        <f t="shared" si="14"/>
        <v>37.600000000000009</v>
      </c>
    </row>
    <row r="263" spans="1:20" x14ac:dyDescent="0.35">
      <c r="A263" s="14" t="s">
        <v>62</v>
      </c>
      <c r="B263" s="15" t="s">
        <v>63</v>
      </c>
      <c r="C263" s="15" t="s">
        <v>93</v>
      </c>
      <c r="D263" s="15" t="s">
        <v>97</v>
      </c>
      <c r="E263" s="15" t="s">
        <v>91</v>
      </c>
      <c r="F263" s="15" t="s">
        <v>67</v>
      </c>
      <c r="G263" s="15" t="s">
        <v>73</v>
      </c>
      <c r="H263" s="15" t="s">
        <v>72</v>
      </c>
      <c r="I263" s="16">
        <v>13426</v>
      </c>
      <c r="J263" s="16">
        <v>10542</v>
      </c>
      <c r="K263" s="16">
        <v>13053</v>
      </c>
      <c r="L263" s="17">
        <v>131.4</v>
      </c>
      <c r="M263" s="17">
        <v>6.8</v>
      </c>
      <c r="N263" s="17">
        <f t="shared" si="12"/>
        <v>124.60000000000001</v>
      </c>
      <c r="O263" s="17">
        <v>92.4</v>
      </c>
      <c r="P263" s="17">
        <v>118.8</v>
      </c>
      <c r="Q263" s="17">
        <v>80.599999999999994</v>
      </c>
      <c r="R263" s="17">
        <f t="shared" si="13"/>
        <v>44.000000000000014</v>
      </c>
      <c r="S263" s="17">
        <v>60.8</v>
      </c>
      <c r="T263" s="17">
        <f t="shared" si="14"/>
        <v>31.600000000000009</v>
      </c>
    </row>
    <row r="264" spans="1:20" x14ac:dyDescent="0.35">
      <c r="A264" s="14" t="s">
        <v>62</v>
      </c>
      <c r="B264" s="15" t="s">
        <v>63</v>
      </c>
      <c r="C264" s="15" t="s">
        <v>93</v>
      </c>
      <c r="D264" s="15" t="s">
        <v>97</v>
      </c>
      <c r="E264" s="15" t="s">
        <v>91</v>
      </c>
      <c r="F264" s="15" t="s">
        <v>67</v>
      </c>
      <c r="G264" s="15" t="s">
        <v>74</v>
      </c>
      <c r="H264" s="15" t="s">
        <v>70</v>
      </c>
      <c r="I264" s="16">
        <v>16204</v>
      </c>
      <c r="J264" s="16">
        <v>13832</v>
      </c>
      <c r="K264" s="16">
        <v>15671</v>
      </c>
      <c r="L264" s="17">
        <v>92.3</v>
      </c>
      <c r="M264" s="17">
        <v>4</v>
      </c>
      <c r="N264" s="17">
        <f t="shared" si="12"/>
        <v>88.3</v>
      </c>
      <c r="O264" s="17">
        <v>71.7</v>
      </c>
      <c r="P264" s="17">
        <v>85.3</v>
      </c>
      <c r="Q264" s="17">
        <v>51.6</v>
      </c>
      <c r="R264" s="17">
        <f t="shared" si="13"/>
        <v>36.699999999999996</v>
      </c>
      <c r="S264" s="17">
        <v>42.8</v>
      </c>
      <c r="T264" s="17">
        <f t="shared" si="14"/>
        <v>28.900000000000006</v>
      </c>
    </row>
    <row r="265" spans="1:20" x14ac:dyDescent="0.35">
      <c r="A265" s="14" t="s">
        <v>62</v>
      </c>
      <c r="B265" s="15" t="s">
        <v>63</v>
      </c>
      <c r="C265" s="15" t="s">
        <v>93</v>
      </c>
      <c r="D265" s="15" t="s">
        <v>97</v>
      </c>
      <c r="E265" s="15" t="s">
        <v>91</v>
      </c>
      <c r="F265" s="15" t="s">
        <v>67</v>
      </c>
      <c r="G265" s="15" t="s">
        <v>74</v>
      </c>
      <c r="H265" s="15" t="s">
        <v>71</v>
      </c>
      <c r="I265" s="16">
        <v>32912</v>
      </c>
      <c r="J265" s="16">
        <v>28695</v>
      </c>
      <c r="K265" s="16">
        <v>31831</v>
      </c>
      <c r="L265" s="17">
        <v>231.5</v>
      </c>
      <c r="M265" s="17">
        <v>9.4</v>
      </c>
      <c r="N265" s="17">
        <f t="shared" si="12"/>
        <v>222.1</v>
      </c>
      <c r="O265" s="17">
        <v>184.4</v>
      </c>
      <c r="P265" s="17">
        <v>211.6</v>
      </c>
      <c r="Q265" s="17">
        <v>140.69999999999999</v>
      </c>
      <c r="R265" s="17">
        <f t="shared" si="13"/>
        <v>81.400000000000006</v>
      </c>
      <c r="S265" s="17">
        <v>117.6</v>
      </c>
      <c r="T265" s="17">
        <f t="shared" si="14"/>
        <v>66.800000000000011</v>
      </c>
    </row>
    <row r="266" spans="1:20" x14ac:dyDescent="0.35">
      <c r="A266" s="14" t="s">
        <v>62</v>
      </c>
      <c r="B266" s="15" t="s">
        <v>63</v>
      </c>
      <c r="C266" s="15" t="s">
        <v>93</v>
      </c>
      <c r="D266" s="15" t="s">
        <v>97</v>
      </c>
      <c r="E266" s="15" t="s">
        <v>91</v>
      </c>
      <c r="F266" s="15" t="s">
        <v>67</v>
      </c>
      <c r="G266" s="15" t="s">
        <v>75</v>
      </c>
      <c r="H266" s="15" t="s">
        <v>71</v>
      </c>
      <c r="I266" s="16">
        <v>22724</v>
      </c>
      <c r="J266" s="16">
        <v>19856</v>
      </c>
      <c r="K266" s="16">
        <v>22146</v>
      </c>
      <c r="L266" s="17">
        <v>166.4</v>
      </c>
      <c r="M266" s="17">
        <v>8</v>
      </c>
      <c r="N266" s="17">
        <f t="shared" si="12"/>
        <v>158.4</v>
      </c>
      <c r="O266" s="17">
        <v>132.6</v>
      </c>
      <c r="P266" s="17">
        <v>151.9</v>
      </c>
      <c r="Q266" s="17">
        <v>97.5</v>
      </c>
      <c r="R266" s="17">
        <f t="shared" si="13"/>
        <v>60.900000000000006</v>
      </c>
      <c r="S266" s="17">
        <v>83.5</v>
      </c>
      <c r="T266" s="17">
        <f t="shared" si="14"/>
        <v>49.099999999999994</v>
      </c>
    </row>
    <row r="267" spans="1:20" x14ac:dyDescent="0.35">
      <c r="A267" s="14" t="s">
        <v>62</v>
      </c>
      <c r="B267" s="15" t="s">
        <v>63</v>
      </c>
      <c r="C267" s="15" t="s">
        <v>93</v>
      </c>
      <c r="D267" s="15" t="s">
        <v>97</v>
      </c>
      <c r="E267" s="15" t="s">
        <v>91</v>
      </c>
      <c r="F267" s="15" t="s">
        <v>67</v>
      </c>
      <c r="G267" s="15" t="s">
        <v>76</v>
      </c>
      <c r="H267" s="15" t="s">
        <v>72</v>
      </c>
      <c r="I267" s="16">
        <v>27970</v>
      </c>
      <c r="J267" s="16">
        <v>23475</v>
      </c>
      <c r="K267" s="16">
        <v>27351</v>
      </c>
      <c r="L267" s="17">
        <v>342.4</v>
      </c>
      <c r="M267" s="17">
        <v>14.3</v>
      </c>
      <c r="N267" s="17">
        <f t="shared" si="12"/>
        <v>328.09999999999997</v>
      </c>
      <c r="O267" s="17">
        <v>261.89999999999998</v>
      </c>
      <c r="P267" s="17">
        <v>316</v>
      </c>
      <c r="Q267" s="17">
        <v>206.8</v>
      </c>
      <c r="R267" s="17">
        <f t="shared" si="13"/>
        <v>121.29999999999995</v>
      </c>
      <c r="S267" s="17">
        <v>168.6</v>
      </c>
      <c r="T267" s="17">
        <f t="shared" si="14"/>
        <v>93.299999999999983</v>
      </c>
    </row>
    <row r="268" spans="1:20" x14ac:dyDescent="0.35">
      <c r="A268" s="14" t="s">
        <v>62</v>
      </c>
      <c r="B268" s="15" t="s">
        <v>63</v>
      </c>
      <c r="C268" s="15" t="s">
        <v>93</v>
      </c>
      <c r="D268" s="15" t="s">
        <v>97</v>
      </c>
      <c r="E268" s="15" t="s">
        <v>91</v>
      </c>
      <c r="F268" s="15" t="s">
        <v>79</v>
      </c>
      <c r="G268" s="15" t="s">
        <v>95</v>
      </c>
      <c r="H268" s="15" t="s">
        <v>71</v>
      </c>
      <c r="I268" s="16">
        <v>22519</v>
      </c>
      <c r="J268" s="16">
        <v>19051</v>
      </c>
      <c r="K268" s="16">
        <v>21918</v>
      </c>
      <c r="L268" s="17">
        <v>100.2</v>
      </c>
      <c r="M268" s="17">
        <v>5.2</v>
      </c>
      <c r="N268" s="17">
        <f t="shared" si="12"/>
        <v>95</v>
      </c>
      <c r="O268" s="17">
        <v>77.099999999999994</v>
      </c>
      <c r="P268" s="17">
        <v>91.2</v>
      </c>
      <c r="Q268" s="17">
        <v>58.3</v>
      </c>
      <c r="R268" s="17">
        <f t="shared" si="13"/>
        <v>36.700000000000003</v>
      </c>
      <c r="S268" s="17">
        <v>48</v>
      </c>
      <c r="T268" s="17">
        <f t="shared" si="14"/>
        <v>29.099999999999994</v>
      </c>
    </row>
    <row r="269" spans="1:20" x14ac:dyDescent="0.35">
      <c r="A269" s="14" t="s">
        <v>62</v>
      </c>
      <c r="B269" s="15" t="s">
        <v>63</v>
      </c>
      <c r="C269" s="15" t="s">
        <v>93</v>
      </c>
      <c r="D269" s="15" t="s">
        <v>97</v>
      </c>
      <c r="E269" s="15" t="s">
        <v>91</v>
      </c>
      <c r="F269" s="15" t="s">
        <v>81</v>
      </c>
      <c r="G269" s="15" t="s">
        <v>82</v>
      </c>
      <c r="H269" s="15" t="s">
        <v>71</v>
      </c>
      <c r="I269" s="16">
        <v>7147</v>
      </c>
      <c r="J269" s="16">
        <v>6008</v>
      </c>
      <c r="K269" s="16">
        <v>6976</v>
      </c>
      <c r="L269" s="17">
        <v>67.900000000000006</v>
      </c>
      <c r="M269" s="17">
        <v>3.2</v>
      </c>
      <c r="N269" s="17">
        <f t="shared" si="12"/>
        <v>64.7</v>
      </c>
      <c r="O269" s="17">
        <v>52.1</v>
      </c>
      <c r="P269" s="17">
        <v>62.7</v>
      </c>
      <c r="Q269" s="17">
        <v>40.700000000000003</v>
      </c>
      <c r="R269" s="17">
        <f t="shared" si="13"/>
        <v>24</v>
      </c>
      <c r="S269" s="17">
        <v>33.4</v>
      </c>
      <c r="T269" s="17">
        <f t="shared" si="14"/>
        <v>18.700000000000003</v>
      </c>
    </row>
    <row r="270" spans="1:20" x14ac:dyDescent="0.35">
      <c r="A270" s="14" t="s">
        <v>62</v>
      </c>
      <c r="B270" s="15" t="s">
        <v>63</v>
      </c>
      <c r="C270" s="15" t="s">
        <v>93</v>
      </c>
      <c r="D270" s="15" t="s">
        <v>97</v>
      </c>
      <c r="E270" s="15" t="s">
        <v>91</v>
      </c>
      <c r="F270" s="15" t="s">
        <v>83</v>
      </c>
      <c r="G270" s="15" t="s">
        <v>84</v>
      </c>
      <c r="H270" s="15" t="s">
        <v>72</v>
      </c>
      <c r="I270" s="16">
        <v>7605</v>
      </c>
      <c r="J270" s="16">
        <v>5733</v>
      </c>
      <c r="K270" s="16">
        <v>7366</v>
      </c>
      <c r="L270" s="17">
        <v>225.7</v>
      </c>
      <c r="M270" s="17">
        <v>9.5</v>
      </c>
      <c r="N270" s="17">
        <f t="shared" si="12"/>
        <v>216.2</v>
      </c>
      <c r="O270" s="17">
        <v>156.1</v>
      </c>
      <c r="P270" s="17">
        <v>206.7</v>
      </c>
      <c r="Q270" s="17">
        <v>127.5</v>
      </c>
      <c r="R270" s="17">
        <f t="shared" si="13"/>
        <v>88.699999999999989</v>
      </c>
      <c r="S270" s="17">
        <v>94.1</v>
      </c>
      <c r="T270" s="17">
        <f t="shared" si="14"/>
        <v>62</v>
      </c>
    </row>
    <row r="271" spans="1:20" x14ac:dyDescent="0.35">
      <c r="A271" s="14" t="s">
        <v>62</v>
      </c>
      <c r="B271" s="15" t="s">
        <v>63</v>
      </c>
      <c r="C271" s="15" t="s">
        <v>93</v>
      </c>
      <c r="D271" s="15" t="s">
        <v>97</v>
      </c>
      <c r="E271" s="15" t="s">
        <v>92</v>
      </c>
      <c r="F271" s="15" t="s">
        <v>67</v>
      </c>
      <c r="G271" s="15" t="s">
        <v>68</v>
      </c>
      <c r="H271" s="15" t="s">
        <v>69</v>
      </c>
      <c r="I271" s="16">
        <v>136650</v>
      </c>
      <c r="J271" s="16">
        <v>102674</v>
      </c>
      <c r="K271" s="16">
        <v>132618</v>
      </c>
      <c r="L271" s="17">
        <v>610.70000000000005</v>
      </c>
      <c r="M271" s="17">
        <v>50.2</v>
      </c>
      <c r="N271" s="17">
        <f t="shared" si="12"/>
        <v>560.5</v>
      </c>
      <c r="O271" s="17">
        <v>402.1</v>
      </c>
      <c r="P271" s="17">
        <v>538.1</v>
      </c>
      <c r="Q271" s="17">
        <v>314.8</v>
      </c>
      <c r="R271" s="17">
        <f t="shared" si="13"/>
        <v>245.7</v>
      </c>
      <c r="S271" s="17">
        <v>228.3</v>
      </c>
      <c r="T271" s="17">
        <f t="shared" si="14"/>
        <v>173.8</v>
      </c>
    </row>
    <row r="272" spans="1:20" x14ac:dyDescent="0.35">
      <c r="A272" s="14" t="s">
        <v>62</v>
      </c>
      <c r="B272" s="15" t="s">
        <v>63</v>
      </c>
      <c r="C272" s="15" t="s">
        <v>93</v>
      </c>
      <c r="D272" s="15" t="s">
        <v>97</v>
      </c>
      <c r="E272" s="15" t="s">
        <v>92</v>
      </c>
      <c r="F272" s="15" t="s">
        <v>67</v>
      </c>
      <c r="G272" s="15" t="s">
        <v>68</v>
      </c>
      <c r="H272" s="15" t="s">
        <v>70</v>
      </c>
      <c r="I272" s="16">
        <v>122673</v>
      </c>
      <c r="J272" s="16">
        <v>91650</v>
      </c>
      <c r="K272" s="16">
        <v>118420</v>
      </c>
      <c r="L272" s="17">
        <v>680.1</v>
      </c>
      <c r="M272" s="17">
        <v>59</v>
      </c>
      <c r="N272" s="17">
        <f t="shared" si="12"/>
        <v>621.1</v>
      </c>
      <c r="O272" s="17">
        <v>445.6</v>
      </c>
      <c r="P272" s="17">
        <v>600.1</v>
      </c>
      <c r="Q272" s="17">
        <v>350</v>
      </c>
      <c r="R272" s="17">
        <f t="shared" si="13"/>
        <v>271.10000000000002</v>
      </c>
      <c r="S272" s="17">
        <v>257</v>
      </c>
      <c r="T272" s="17">
        <f t="shared" si="14"/>
        <v>188.60000000000002</v>
      </c>
    </row>
    <row r="273" spans="1:20" x14ac:dyDescent="0.35">
      <c r="A273" s="14" t="s">
        <v>62</v>
      </c>
      <c r="B273" s="15" t="s">
        <v>63</v>
      </c>
      <c r="C273" s="15" t="s">
        <v>93</v>
      </c>
      <c r="D273" s="15" t="s">
        <v>97</v>
      </c>
      <c r="E273" s="15" t="s">
        <v>92</v>
      </c>
      <c r="F273" s="15" t="s">
        <v>67</v>
      </c>
      <c r="G273" s="15" t="s">
        <v>68</v>
      </c>
      <c r="H273" s="15" t="s">
        <v>71</v>
      </c>
      <c r="I273" s="16">
        <v>131180</v>
      </c>
      <c r="J273" s="16">
        <v>99559</v>
      </c>
      <c r="K273" s="16">
        <v>126731</v>
      </c>
      <c r="L273" s="17">
        <v>907.4</v>
      </c>
      <c r="M273" s="17">
        <v>73.400000000000006</v>
      </c>
      <c r="N273" s="17">
        <f t="shared" si="12"/>
        <v>834</v>
      </c>
      <c r="O273" s="17">
        <v>607.5</v>
      </c>
      <c r="P273" s="17">
        <v>808.7</v>
      </c>
      <c r="Q273" s="17">
        <v>505.4</v>
      </c>
      <c r="R273" s="17">
        <f t="shared" si="13"/>
        <v>328.6</v>
      </c>
      <c r="S273" s="17">
        <v>377.1</v>
      </c>
      <c r="T273" s="17">
        <f t="shared" si="14"/>
        <v>230.39999999999998</v>
      </c>
    </row>
    <row r="274" spans="1:20" x14ac:dyDescent="0.35">
      <c r="A274" s="14" t="s">
        <v>62</v>
      </c>
      <c r="B274" s="15" t="s">
        <v>63</v>
      </c>
      <c r="C274" s="15" t="s">
        <v>93</v>
      </c>
      <c r="D274" s="15" t="s">
        <v>97</v>
      </c>
      <c r="E274" s="15" t="s">
        <v>92</v>
      </c>
      <c r="F274" s="15" t="s">
        <v>67</v>
      </c>
      <c r="G274" s="15" t="s">
        <v>68</v>
      </c>
      <c r="H274" s="15" t="s">
        <v>72</v>
      </c>
      <c r="I274" s="16">
        <v>35136</v>
      </c>
      <c r="J274" s="16">
        <v>26148</v>
      </c>
      <c r="K274" s="16">
        <v>33983</v>
      </c>
      <c r="L274" s="17">
        <v>315.8</v>
      </c>
      <c r="M274" s="17">
        <v>25.2</v>
      </c>
      <c r="N274" s="17">
        <f t="shared" si="12"/>
        <v>290.60000000000002</v>
      </c>
      <c r="O274" s="17">
        <v>204.9</v>
      </c>
      <c r="P274" s="17">
        <v>277.3</v>
      </c>
      <c r="Q274" s="17">
        <v>184.3</v>
      </c>
      <c r="R274" s="17">
        <f t="shared" si="13"/>
        <v>106.30000000000001</v>
      </c>
      <c r="S274" s="17">
        <v>132.6</v>
      </c>
      <c r="T274" s="17">
        <f t="shared" si="14"/>
        <v>72.300000000000011</v>
      </c>
    </row>
    <row r="275" spans="1:20" x14ac:dyDescent="0.35">
      <c r="A275" s="14" t="s">
        <v>62</v>
      </c>
      <c r="B275" s="15" t="s">
        <v>63</v>
      </c>
      <c r="C275" s="15" t="s">
        <v>93</v>
      </c>
      <c r="D275" s="15" t="s">
        <v>97</v>
      </c>
      <c r="E275" s="15" t="s">
        <v>92</v>
      </c>
      <c r="F275" s="15" t="s">
        <v>67</v>
      </c>
      <c r="G275" s="15" t="s">
        <v>73</v>
      </c>
      <c r="H275" s="15" t="s">
        <v>71</v>
      </c>
      <c r="I275" s="16">
        <v>32900</v>
      </c>
      <c r="J275" s="16">
        <v>23058</v>
      </c>
      <c r="K275" s="16">
        <v>32157</v>
      </c>
      <c r="L275" s="17">
        <v>228.9</v>
      </c>
      <c r="M275" s="17">
        <v>20.5</v>
      </c>
      <c r="N275" s="17">
        <f t="shared" si="12"/>
        <v>208.4</v>
      </c>
      <c r="O275" s="17">
        <v>139.1</v>
      </c>
      <c r="P275" s="17">
        <v>202</v>
      </c>
      <c r="Q275" s="17">
        <v>127.3</v>
      </c>
      <c r="R275" s="17">
        <f t="shared" si="13"/>
        <v>81.100000000000009</v>
      </c>
      <c r="S275" s="17">
        <v>86.5</v>
      </c>
      <c r="T275" s="17">
        <f t="shared" si="14"/>
        <v>52.599999999999994</v>
      </c>
    </row>
    <row r="276" spans="1:20" x14ac:dyDescent="0.35">
      <c r="A276" s="14" t="s">
        <v>62</v>
      </c>
      <c r="B276" s="15" t="s">
        <v>63</v>
      </c>
      <c r="C276" s="15" t="s">
        <v>93</v>
      </c>
      <c r="D276" s="15" t="s">
        <v>97</v>
      </c>
      <c r="E276" s="15" t="s">
        <v>92</v>
      </c>
      <c r="F276" s="15" t="s">
        <v>67</v>
      </c>
      <c r="G276" s="15" t="s">
        <v>73</v>
      </c>
      <c r="H276" s="15" t="s">
        <v>72</v>
      </c>
      <c r="I276" s="16">
        <v>10446</v>
      </c>
      <c r="J276" s="16">
        <v>7273</v>
      </c>
      <c r="K276" s="16">
        <v>10163</v>
      </c>
      <c r="L276" s="17">
        <v>96.6</v>
      </c>
      <c r="M276" s="17">
        <v>7.4</v>
      </c>
      <c r="N276" s="17">
        <f t="shared" si="12"/>
        <v>89.199999999999989</v>
      </c>
      <c r="O276" s="17">
        <v>58.7</v>
      </c>
      <c r="P276" s="17">
        <v>85.8</v>
      </c>
      <c r="Q276" s="17">
        <v>58.4</v>
      </c>
      <c r="R276" s="17">
        <f t="shared" si="13"/>
        <v>30.79999999999999</v>
      </c>
      <c r="S276" s="17">
        <v>38.799999999999997</v>
      </c>
      <c r="T276" s="17">
        <f t="shared" si="14"/>
        <v>19.900000000000006</v>
      </c>
    </row>
    <row r="277" spans="1:20" x14ac:dyDescent="0.35">
      <c r="A277" s="14" t="s">
        <v>62</v>
      </c>
      <c r="B277" s="15" t="s">
        <v>63</v>
      </c>
      <c r="C277" s="15" t="s">
        <v>93</v>
      </c>
      <c r="D277" s="15" t="s">
        <v>97</v>
      </c>
      <c r="E277" s="15" t="s">
        <v>92</v>
      </c>
      <c r="F277" s="15" t="s">
        <v>67</v>
      </c>
      <c r="G277" s="15" t="s">
        <v>74</v>
      </c>
      <c r="H277" s="15" t="s">
        <v>70</v>
      </c>
      <c r="I277" s="16">
        <v>55000</v>
      </c>
      <c r="J277" s="16">
        <v>40520</v>
      </c>
      <c r="K277" s="16">
        <v>53585</v>
      </c>
      <c r="L277" s="17">
        <v>283.2</v>
      </c>
      <c r="M277" s="17">
        <v>24.9</v>
      </c>
      <c r="N277" s="17">
        <f t="shared" si="12"/>
        <v>258.3</v>
      </c>
      <c r="O277" s="17">
        <v>179.8</v>
      </c>
      <c r="P277" s="17">
        <v>246.6</v>
      </c>
      <c r="Q277" s="17">
        <v>146.30000000000001</v>
      </c>
      <c r="R277" s="17">
        <f t="shared" si="13"/>
        <v>112</v>
      </c>
      <c r="S277" s="17">
        <v>102.8</v>
      </c>
      <c r="T277" s="17">
        <f t="shared" si="14"/>
        <v>77.000000000000014</v>
      </c>
    </row>
    <row r="278" spans="1:20" x14ac:dyDescent="0.35">
      <c r="A278" s="14" t="s">
        <v>62</v>
      </c>
      <c r="B278" s="15" t="s">
        <v>63</v>
      </c>
      <c r="C278" s="15" t="s">
        <v>93</v>
      </c>
      <c r="D278" s="15" t="s">
        <v>97</v>
      </c>
      <c r="E278" s="15" t="s">
        <v>92</v>
      </c>
      <c r="F278" s="15" t="s">
        <v>67</v>
      </c>
      <c r="G278" s="15" t="s">
        <v>74</v>
      </c>
      <c r="H278" s="15" t="s">
        <v>71</v>
      </c>
      <c r="I278" s="16">
        <v>57408</v>
      </c>
      <c r="J278" s="16">
        <v>42741</v>
      </c>
      <c r="K278" s="16">
        <v>55756</v>
      </c>
      <c r="L278" s="17">
        <v>368.8</v>
      </c>
      <c r="M278" s="17">
        <v>28.1</v>
      </c>
      <c r="N278" s="17">
        <f t="shared" si="12"/>
        <v>340.7</v>
      </c>
      <c r="O278" s="17">
        <v>242.9</v>
      </c>
      <c r="P278" s="17">
        <v>325.5</v>
      </c>
      <c r="Q278" s="17">
        <v>207.3</v>
      </c>
      <c r="R278" s="17">
        <f t="shared" si="13"/>
        <v>133.39999999999998</v>
      </c>
      <c r="S278" s="17">
        <v>149.19999999999999</v>
      </c>
      <c r="T278" s="17">
        <f t="shared" si="14"/>
        <v>93.700000000000017</v>
      </c>
    </row>
    <row r="279" spans="1:20" x14ac:dyDescent="0.35">
      <c r="A279" s="14" t="s">
        <v>62</v>
      </c>
      <c r="B279" s="15" t="s">
        <v>63</v>
      </c>
      <c r="C279" s="15" t="s">
        <v>93</v>
      </c>
      <c r="D279" s="15" t="s">
        <v>97</v>
      </c>
      <c r="E279" s="15" t="s">
        <v>92</v>
      </c>
      <c r="F279" s="15" t="s">
        <v>67</v>
      </c>
      <c r="G279" s="15" t="s">
        <v>75</v>
      </c>
      <c r="H279" s="15" t="s">
        <v>71</v>
      </c>
      <c r="I279" s="16">
        <v>44498</v>
      </c>
      <c r="J279" s="16">
        <v>33455</v>
      </c>
      <c r="K279" s="16">
        <v>43069</v>
      </c>
      <c r="L279" s="17">
        <v>291.3</v>
      </c>
      <c r="M279" s="17">
        <v>23.4</v>
      </c>
      <c r="N279" s="17">
        <f t="shared" si="12"/>
        <v>267.90000000000003</v>
      </c>
      <c r="O279" s="17">
        <v>192.1</v>
      </c>
      <c r="P279" s="17">
        <v>258</v>
      </c>
      <c r="Q279" s="17">
        <v>164.5</v>
      </c>
      <c r="R279" s="17">
        <f t="shared" si="13"/>
        <v>103.40000000000003</v>
      </c>
      <c r="S279" s="17">
        <v>120.7</v>
      </c>
      <c r="T279" s="17">
        <f t="shared" si="14"/>
        <v>71.399999999999991</v>
      </c>
    </row>
    <row r="280" spans="1:20" x14ac:dyDescent="0.35">
      <c r="A280" s="14" t="s">
        <v>62</v>
      </c>
      <c r="B280" s="15" t="s">
        <v>63</v>
      </c>
      <c r="C280" s="15" t="s">
        <v>93</v>
      </c>
      <c r="D280" s="15" t="s">
        <v>97</v>
      </c>
      <c r="E280" s="15" t="s">
        <v>92</v>
      </c>
      <c r="F280" s="15" t="s">
        <v>67</v>
      </c>
      <c r="G280" s="15" t="s">
        <v>76</v>
      </c>
      <c r="H280" s="15" t="s">
        <v>72</v>
      </c>
      <c r="I280" s="16">
        <v>7624</v>
      </c>
      <c r="J280" s="16">
        <v>5551</v>
      </c>
      <c r="K280" s="16">
        <v>7371</v>
      </c>
      <c r="L280" s="17">
        <v>82.7</v>
      </c>
      <c r="M280" s="17">
        <v>7.3</v>
      </c>
      <c r="N280" s="17">
        <f t="shared" si="12"/>
        <v>75.400000000000006</v>
      </c>
      <c r="O280" s="17">
        <v>52.7</v>
      </c>
      <c r="P280" s="17">
        <v>72.3</v>
      </c>
      <c r="Q280" s="17">
        <v>47.4</v>
      </c>
      <c r="R280" s="17">
        <f t="shared" si="13"/>
        <v>28.000000000000007</v>
      </c>
      <c r="S280" s="17">
        <v>33.799999999999997</v>
      </c>
      <c r="T280" s="17">
        <f t="shared" si="14"/>
        <v>18.900000000000006</v>
      </c>
    </row>
    <row r="281" spans="1:20" x14ac:dyDescent="0.35">
      <c r="A281" s="14" t="s">
        <v>62</v>
      </c>
      <c r="B281" s="15" t="s">
        <v>63</v>
      </c>
      <c r="C281" s="15" t="s">
        <v>93</v>
      </c>
      <c r="D281" s="15" t="s">
        <v>97</v>
      </c>
      <c r="E281" s="15" t="s">
        <v>92</v>
      </c>
      <c r="F281" s="15" t="s">
        <v>79</v>
      </c>
      <c r="G281" s="15" t="s">
        <v>95</v>
      </c>
      <c r="H281" s="15" t="s">
        <v>71</v>
      </c>
      <c r="I281" s="16">
        <v>41707</v>
      </c>
      <c r="J281" s="16">
        <v>30823</v>
      </c>
      <c r="K281" s="16">
        <v>40243</v>
      </c>
      <c r="L281" s="17">
        <v>173.3</v>
      </c>
      <c r="M281" s="17">
        <v>15</v>
      </c>
      <c r="N281" s="17">
        <f t="shared" si="12"/>
        <v>158.30000000000001</v>
      </c>
      <c r="O281" s="17">
        <v>112.4</v>
      </c>
      <c r="P281" s="17">
        <v>153.5</v>
      </c>
      <c r="Q281" s="17">
        <v>97.1</v>
      </c>
      <c r="R281" s="17">
        <f t="shared" si="13"/>
        <v>61.200000000000017</v>
      </c>
      <c r="S281" s="17">
        <v>70.599999999999994</v>
      </c>
      <c r="T281" s="17">
        <f t="shared" si="14"/>
        <v>41.800000000000011</v>
      </c>
    </row>
    <row r="282" spans="1:20" x14ac:dyDescent="0.35">
      <c r="A282" s="14" t="s">
        <v>62</v>
      </c>
      <c r="B282" s="15" t="s">
        <v>63</v>
      </c>
      <c r="C282" s="15" t="s">
        <v>93</v>
      </c>
      <c r="D282" s="15" t="s">
        <v>97</v>
      </c>
      <c r="E282" s="15" t="s">
        <v>92</v>
      </c>
      <c r="F282" s="15" t="s">
        <v>81</v>
      </c>
      <c r="G282" s="15" t="s">
        <v>82</v>
      </c>
      <c r="H282" s="15" t="s">
        <v>71</v>
      </c>
      <c r="I282" s="16">
        <v>13908</v>
      </c>
      <c r="J282" s="16">
        <v>10096</v>
      </c>
      <c r="K282" s="16">
        <v>13485</v>
      </c>
      <c r="L282" s="17">
        <v>126.3</v>
      </c>
      <c r="M282" s="17">
        <v>10.5</v>
      </c>
      <c r="N282" s="17">
        <f t="shared" si="12"/>
        <v>115.8</v>
      </c>
      <c r="O282" s="17">
        <v>80</v>
      </c>
      <c r="P282" s="17">
        <v>111.1</v>
      </c>
      <c r="Q282" s="17">
        <v>70.3</v>
      </c>
      <c r="R282" s="17">
        <f t="shared" si="13"/>
        <v>45.5</v>
      </c>
      <c r="S282" s="17">
        <v>49.4</v>
      </c>
      <c r="T282" s="17">
        <f t="shared" si="14"/>
        <v>30.6</v>
      </c>
    </row>
    <row r="283" spans="1:20" x14ac:dyDescent="0.35">
      <c r="A283" s="14" t="s">
        <v>62</v>
      </c>
      <c r="B283" s="15" t="s">
        <v>63</v>
      </c>
      <c r="C283" s="15" t="s">
        <v>93</v>
      </c>
      <c r="D283" s="15" t="s">
        <v>97</v>
      </c>
      <c r="E283" s="15" t="s">
        <v>92</v>
      </c>
      <c r="F283" s="15" t="s">
        <v>83</v>
      </c>
      <c r="G283" s="15" t="s">
        <v>84</v>
      </c>
      <c r="H283" s="15" t="s">
        <v>72</v>
      </c>
      <c r="I283" s="16">
        <v>7000</v>
      </c>
      <c r="J283" s="16">
        <v>4632</v>
      </c>
      <c r="K283" s="16">
        <v>6769</v>
      </c>
      <c r="L283" s="17">
        <v>194.5</v>
      </c>
      <c r="M283" s="17">
        <v>13.9</v>
      </c>
      <c r="N283" s="17">
        <f t="shared" si="12"/>
        <v>180.6</v>
      </c>
      <c r="O283" s="17">
        <v>113.8</v>
      </c>
      <c r="P283" s="17">
        <v>175.3</v>
      </c>
      <c r="Q283" s="17">
        <v>104.3</v>
      </c>
      <c r="R283" s="17">
        <f t="shared" si="13"/>
        <v>76.3</v>
      </c>
      <c r="S283" s="17">
        <v>67.3</v>
      </c>
      <c r="T283" s="17">
        <f t="shared" si="14"/>
        <v>46.5</v>
      </c>
    </row>
    <row r="284" spans="1:20" x14ac:dyDescent="0.35">
      <c r="A284" s="14" t="s">
        <v>62</v>
      </c>
      <c r="B284" s="15" t="s">
        <v>63</v>
      </c>
      <c r="C284" s="15" t="s">
        <v>93</v>
      </c>
      <c r="D284" s="15" t="s">
        <v>98</v>
      </c>
      <c r="E284" s="15" t="s">
        <v>66</v>
      </c>
      <c r="F284" s="15" t="s">
        <v>67</v>
      </c>
      <c r="G284" s="15" t="s">
        <v>68</v>
      </c>
      <c r="H284" s="15" t="s">
        <v>69</v>
      </c>
      <c r="I284" s="16">
        <v>70916</v>
      </c>
      <c r="J284" s="16">
        <v>64947</v>
      </c>
      <c r="K284" s="16">
        <v>68889</v>
      </c>
      <c r="L284" s="17">
        <v>322.39999999999998</v>
      </c>
      <c r="M284" s="17">
        <v>45.1</v>
      </c>
      <c r="N284" s="17">
        <f t="shared" si="12"/>
        <v>277.29999999999995</v>
      </c>
      <c r="O284" s="17">
        <v>241.8</v>
      </c>
      <c r="P284" s="17">
        <v>268.39999999999998</v>
      </c>
      <c r="Q284" s="17">
        <v>152.6</v>
      </c>
      <c r="R284" s="17">
        <f t="shared" si="13"/>
        <v>124.69999999999996</v>
      </c>
      <c r="S284" s="17">
        <v>134.69999999999999</v>
      </c>
      <c r="T284" s="17">
        <f t="shared" si="14"/>
        <v>107.10000000000002</v>
      </c>
    </row>
    <row r="285" spans="1:20" x14ac:dyDescent="0.35">
      <c r="A285" s="14" t="s">
        <v>62</v>
      </c>
      <c r="B285" s="15" t="s">
        <v>63</v>
      </c>
      <c r="C285" s="15" t="s">
        <v>93</v>
      </c>
      <c r="D285" s="15" t="s">
        <v>98</v>
      </c>
      <c r="E285" s="15" t="s">
        <v>66</v>
      </c>
      <c r="F285" s="15" t="s">
        <v>67</v>
      </c>
      <c r="G285" s="15" t="s">
        <v>68</v>
      </c>
      <c r="H285" s="15" t="s">
        <v>70</v>
      </c>
      <c r="I285" s="16">
        <v>114370</v>
      </c>
      <c r="J285" s="16">
        <v>99579</v>
      </c>
      <c r="K285" s="16">
        <v>111753</v>
      </c>
      <c r="L285" s="17">
        <v>614.20000000000005</v>
      </c>
      <c r="M285" s="17">
        <v>82.6</v>
      </c>
      <c r="N285" s="17">
        <f t="shared" si="12"/>
        <v>531.6</v>
      </c>
      <c r="O285" s="17">
        <v>439.9</v>
      </c>
      <c r="P285" s="17">
        <v>517</v>
      </c>
      <c r="Q285" s="17">
        <v>298.3</v>
      </c>
      <c r="R285" s="17">
        <f t="shared" si="13"/>
        <v>233.3</v>
      </c>
      <c r="S285" s="17">
        <v>248.8</v>
      </c>
      <c r="T285" s="17">
        <f t="shared" si="14"/>
        <v>191.09999999999997</v>
      </c>
    </row>
    <row r="286" spans="1:20" x14ac:dyDescent="0.35">
      <c r="A286" s="14" t="s">
        <v>62</v>
      </c>
      <c r="B286" s="15" t="s">
        <v>63</v>
      </c>
      <c r="C286" s="15" t="s">
        <v>93</v>
      </c>
      <c r="D286" s="15" t="s">
        <v>98</v>
      </c>
      <c r="E286" s="15" t="s">
        <v>66</v>
      </c>
      <c r="F286" s="15" t="s">
        <v>67</v>
      </c>
      <c r="G286" s="15" t="s">
        <v>68</v>
      </c>
      <c r="H286" s="15" t="s">
        <v>71</v>
      </c>
      <c r="I286" s="16">
        <v>262010</v>
      </c>
      <c r="J286" s="16">
        <v>233567</v>
      </c>
      <c r="K286" s="16">
        <v>256235</v>
      </c>
      <c r="L286" s="17">
        <v>1832.4</v>
      </c>
      <c r="M286" s="17">
        <v>273.39999999999998</v>
      </c>
      <c r="N286" s="17">
        <f t="shared" si="12"/>
        <v>1559</v>
      </c>
      <c r="O286" s="17">
        <v>1329.2</v>
      </c>
      <c r="P286" s="17">
        <v>1501.2</v>
      </c>
      <c r="Q286" s="17">
        <v>987.4</v>
      </c>
      <c r="R286" s="17">
        <f t="shared" si="13"/>
        <v>571.6</v>
      </c>
      <c r="S286" s="17">
        <v>853.5</v>
      </c>
      <c r="T286" s="17">
        <f t="shared" si="14"/>
        <v>475.70000000000005</v>
      </c>
    </row>
    <row r="287" spans="1:20" x14ac:dyDescent="0.35">
      <c r="A287" s="14" t="s">
        <v>62</v>
      </c>
      <c r="B287" s="15" t="s">
        <v>63</v>
      </c>
      <c r="C287" s="15" t="s">
        <v>93</v>
      </c>
      <c r="D287" s="15" t="s">
        <v>98</v>
      </c>
      <c r="E287" s="15" t="s">
        <v>66</v>
      </c>
      <c r="F287" s="15" t="s">
        <v>67</v>
      </c>
      <c r="G287" s="15" t="s">
        <v>68</v>
      </c>
      <c r="H287" s="15" t="s">
        <v>72</v>
      </c>
      <c r="I287" s="16">
        <v>85877</v>
      </c>
      <c r="J287" s="16">
        <v>75166</v>
      </c>
      <c r="K287" s="16">
        <v>83031</v>
      </c>
      <c r="L287" s="17">
        <v>778.2</v>
      </c>
      <c r="M287" s="17">
        <v>114.7</v>
      </c>
      <c r="N287" s="17">
        <f t="shared" si="12"/>
        <v>663.5</v>
      </c>
      <c r="O287" s="17">
        <v>556.70000000000005</v>
      </c>
      <c r="P287" s="17">
        <v>636.6</v>
      </c>
      <c r="Q287" s="17">
        <v>419.5</v>
      </c>
      <c r="R287" s="17">
        <f t="shared" si="13"/>
        <v>244</v>
      </c>
      <c r="S287" s="17">
        <v>355.3</v>
      </c>
      <c r="T287" s="17">
        <f t="shared" si="14"/>
        <v>201.40000000000003</v>
      </c>
    </row>
    <row r="288" spans="1:20" x14ac:dyDescent="0.35">
      <c r="A288" s="14" t="s">
        <v>62</v>
      </c>
      <c r="B288" s="15" t="s">
        <v>63</v>
      </c>
      <c r="C288" s="15" t="s">
        <v>93</v>
      </c>
      <c r="D288" s="15" t="s">
        <v>98</v>
      </c>
      <c r="E288" s="15" t="s">
        <v>66</v>
      </c>
      <c r="F288" s="15" t="s">
        <v>67</v>
      </c>
      <c r="G288" s="15" t="s">
        <v>73</v>
      </c>
      <c r="H288" s="15" t="s">
        <v>71</v>
      </c>
      <c r="I288" s="16">
        <v>59017</v>
      </c>
      <c r="J288" s="16">
        <v>48288</v>
      </c>
      <c r="K288" s="16">
        <v>57256</v>
      </c>
      <c r="L288" s="17">
        <v>388.9</v>
      </c>
      <c r="M288" s="17">
        <v>53.8</v>
      </c>
      <c r="N288" s="17">
        <f t="shared" si="12"/>
        <v>335.09999999999997</v>
      </c>
      <c r="O288" s="17">
        <v>260.5</v>
      </c>
      <c r="P288" s="17">
        <v>323.5</v>
      </c>
      <c r="Q288" s="17">
        <v>205.8</v>
      </c>
      <c r="R288" s="17">
        <f t="shared" si="13"/>
        <v>129.29999999999995</v>
      </c>
      <c r="S288" s="17">
        <v>161.30000000000001</v>
      </c>
      <c r="T288" s="17">
        <f t="shared" si="14"/>
        <v>99.199999999999989</v>
      </c>
    </row>
    <row r="289" spans="1:20" x14ac:dyDescent="0.35">
      <c r="A289" s="14" t="s">
        <v>62</v>
      </c>
      <c r="B289" s="15" t="s">
        <v>63</v>
      </c>
      <c r="C289" s="15" t="s">
        <v>93</v>
      </c>
      <c r="D289" s="15" t="s">
        <v>98</v>
      </c>
      <c r="E289" s="15" t="s">
        <v>66</v>
      </c>
      <c r="F289" s="15" t="s">
        <v>67</v>
      </c>
      <c r="G289" s="15" t="s">
        <v>73</v>
      </c>
      <c r="H289" s="15" t="s">
        <v>72</v>
      </c>
      <c r="I289" s="16">
        <v>27998</v>
      </c>
      <c r="J289" s="16">
        <v>22681</v>
      </c>
      <c r="K289" s="16">
        <v>27106</v>
      </c>
      <c r="L289" s="17">
        <v>252.8</v>
      </c>
      <c r="M289" s="17">
        <v>37.700000000000003</v>
      </c>
      <c r="N289" s="17">
        <f t="shared" si="12"/>
        <v>215.10000000000002</v>
      </c>
      <c r="O289" s="17">
        <v>164.5</v>
      </c>
      <c r="P289" s="17">
        <v>208.3</v>
      </c>
      <c r="Q289" s="17">
        <v>137.1</v>
      </c>
      <c r="R289" s="17">
        <f t="shared" si="13"/>
        <v>78.000000000000028</v>
      </c>
      <c r="S289" s="17">
        <v>106.5</v>
      </c>
      <c r="T289" s="17">
        <f t="shared" si="14"/>
        <v>58</v>
      </c>
    </row>
    <row r="290" spans="1:20" x14ac:dyDescent="0.35">
      <c r="A290" s="14" t="s">
        <v>62</v>
      </c>
      <c r="B290" s="15" t="s">
        <v>63</v>
      </c>
      <c r="C290" s="15" t="s">
        <v>93</v>
      </c>
      <c r="D290" s="15" t="s">
        <v>98</v>
      </c>
      <c r="E290" s="15" t="s">
        <v>66</v>
      </c>
      <c r="F290" s="15" t="s">
        <v>67</v>
      </c>
      <c r="G290" s="15" t="s">
        <v>74</v>
      </c>
      <c r="H290" s="15" t="s">
        <v>70</v>
      </c>
      <c r="I290" s="16">
        <v>44961</v>
      </c>
      <c r="J290" s="16">
        <v>39682</v>
      </c>
      <c r="K290" s="16">
        <v>43924</v>
      </c>
      <c r="L290" s="17">
        <v>239.7</v>
      </c>
      <c r="M290" s="17">
        <v>34.6</v>
      </c>
      <c r="N290" s="17">
        <f t="shared" si="12"/>
        <v>205.1</v>
      </c>
      <c r="O290" s="17">
        <v>173.6</v>
      </c>
      <c r="P290" s="17">
        <v>199.2</v>
      </c>
      <c r="Q290" s="17">
        <v>118.5</v>
      </c>
      <c r="R290" s="17">
        <f t="shared" si="13"/>
        <v>86.6</v>
      </c>
      <c r="S290" s="17">
        <v>102.4</v>
      </c>
      <c r="T290" s="17">
        <f t="shared" si="14"/>
        <v>71.199999999999989</v>
      </c>
    </row>
    <row r="291" spans="1:20" x14ac:dyDescent="0.35">
      <c r="A291" s="14" t="s">
        <v>62</v>
      </c>
      <c r="B291" s="15" t="s">
        <v>63</v>
      </c>
      <c r="C291" s="15" t="s">
        <v>93</v>
      </c>
      <c r="D291" s="15" t="s">
        <v>98</v>
      </c>
      <c r="E291" s="15" t="s">
        <v>66</v>
      </c>
      <c r="F291" s="15" t="s">
        <v>67</v>
      </c>
      <c r="G291" s="15" t="s">
        <v>74</v>
      </c>
      <c r="H291" s="15" t="s">
        <v>71</v>
      </c>
      <c r="I291" s="16">
        <v>102857</v>
      </c>
      <c r="J291" s="16">
        <v>90722</v>
      </c>
      <c r="K291" s="16">
        <v>99353</v>
      </c>
      <c r="L291" s="17">
        <v>659.9</v>
      </c>
      <c r="M291" s="17">
        <v>90.8</v>
      </c>
      <c r="N291" s="17">
        <f t="shared" si="12"/>
        <v>569.1</v>
      </c>
      <c r="O291" s="17">
        <v>478.5</v>
      </c>
      <c r="P291" s="17">
        <v>544.29999999999995</v>
      </c>
      <c r="Q291" s="17">
        <v>360.3</v>
      </c>
      <c r="R291" s="17">
        <f t="shared" si="13"/>
        <v>208.8</v>
      </c>
      <c r="S291" s="17">
        <v>305.5</v>
      </c>
      <c r="T291" s="17">
        <f t="shared" si="14"/>
        <v>173</v>
      </c>
    </row>
    <row r="292" spans="1:20" x14ac:dyDescent="0.35">
      <c r="A292" s="14" t="s">
        <v>62</v>
      </c>
      <c r="B292" s="15" t="s">
        <v>63</v>
      </c>
      <c r="C292" s="15" t="s">
        <v>93</v>
      </c>
      <c r="D292" s="15" t="s">
        <v>98</v>
      </c>
      <c r="E292" s="15" t="s">
        <v>66</v>
      </c>
      <c r="F292" s="15" t="s">
        <v>67</v>
      </c>
      <c r="G292" s="15" t="s">
        <v>75</v>
      </c>
      <c r="H292" s="15" t="s">
        <v>71</v>
      </c>
      <c r="I292" s="16">
        <v>76035</v>
      </c>
      <c r="J292" s="16">
        <v>68434</v>
      </c>
      <c r="K292" s="16">
        <v>74407</v>
      </c>
      <c r="L292" s="17">
        <v>494.2</v>
      </c>
      <c r="M292" s="17">
        <v>69.7</v>
      </c>
      <c r="N292" s="17">
        <f t="shared" si="12"/>
        <v>424.5</v>
      </c>
      <c r="O292" s="17">
        <v>366.7</v>
      </c>
      <c r="P292" s="17">
        <v>410.8</v>
      </c>
      <c r="Q292" s="17">
        <v>263.10000000000002</v>
      </c>
      <c r="R292" s="17">
        <f t="shared" si="13"/>
        <v>161.39999999999998</v>
      </c>
      <c r="S292" s="17">
        <v>230.3</v>
      </c>
      <c r="T292" s="17">
        <f t="shared" si="14"/>
        <v>136.39999999999998</v>
      </c>
    </row>
    <row r="293" spans="1:20" x14ac:dyDescent="0.35">
      <c r="A293" s="14" t="s">
        <v>62</v>
      </c>
      <c r="B293" s="15" t="s">
        <v>63</v>
      </c>
      <c r="C293" s="15" t="s">
        <v>93</v>
      </c>
      <c r="D293" s="15" t="s">
        <v>98</v>
      </c>
      <c r="E293" s="15" t="s">
        <v>66</v>
      </c>
      <c r="F293" s="15" t="s">
        <v>67</v>
      </c>
      <c r="G293" s="15" t="s">
        <v>76</v>
      </c>
      <c r="H293" s="15" t="s">
        <v>72</v>
      </c>
      <c r="I293" s="16">
        <v>22474</v>
      </c>
      <c r="J293" s="16">
        <v>19244</v>
      </c>
      <c r="K293" s="16">
        <v>21724</v>
      </c>
      <c r="L293" s="17">
        <v>253.7</v>
      </c>
      <c r="M293" s="17">
        <v>37.700000000000003</v>
      </c>
      <c r="N293" s="17">
        <f t="shared" si="12"/>
        <v>216</v>
      </c>
      <c r="O293" s="17">
        <v>176.8</v>
      </c>
      <c r="P293" s="17">
        <v>210</v>
      </c>
      <c r="Q293" s="17">
        <v>131.30000000000001</v>
      </c>
      <c r="R293" s="17">
        <f t="shared" si="13"/>
        <v>84.699999999999989</v>
      </c>
      <c r="S293" s="17">
        <v>109</v>
      </c>
      <c r="T293" s="17">
        <f t="shared" si="14"/>
        <v>67.800000000000011</v>
      </c>
    </row>
    <row r="294" spans="1:20" x14ac:dyDescent="0.35">
      <c r="A294" s="14" t="s">
        <v>62</v>
      </c>
      <c r="B294" s="15" t="s">
        <v>63</v>
      </c>
      <c r="C294" s="15" t="s">
        <v>93</v>
      </c>
      <c r="D294" s="15" t="s">
        <v>98</v>
      </c>
      <c r="E294" s="15" t="s">
        <v>66</v>
      </c>
      <c r="F294" s="15" t="s">
        <v>79</v>
      </c>
      <c r="G294" s="15" t="s">
        <v>95</v>
      </c>
      <c r="H294" s="15" t="s">
        <v>71</v>
      </c>
      <c r="I294" s="16">
        <v>83821</v>
      </c>
      <c r="J294" s="16">
        <v>73173</v>
      </c>
      <c r="K294" s="16">
        <v>81464</v>
      </c>
      <c r="L294" s="17">
        <v>330.6</v>
      </c>
      <c r="M294" s="17">
        <v>48.6</v>
      </c>
      <c r="N294" s="17">
        <f t="shared" si="12"/>
        <v>282</v>
      </c>
      <c r="O294" s="17">
        <v>236.3</v>
      </c>
      <c r="P294" s="17">
        <v>270.5</v>
      </c>
      <c r="Q294" s="17">
        <v>169.1</v>
      </c>
      <c r="R294" s="17">
        <f t="shared" si="13"/>
        <v>112.9</v>
      </c>
      <c r="S294" s="17">
        <v>144.80000000000001</v>
      </c>
      <c r="T294" s="17">
        <f t="shared" si="14"/>
        <v>91.5</v>
      </c>
    </row>
    <row r="295" spans="1:20" x14ac:dyDescent="0.35">
      <c r="A295" s="14" t="s">
        <v>62</v>
      </c>
      <c r="B295" s="15" t="s">
        <v>63</v>
      </c>
      <c r="C295" s="15" t="s">
        <v>93</v>
      </c>
      <c r="D295" s="15" t="s">
        <v>98</v>
      </c>
      <c r="E295" s="15" t="s">
        <v>66</v>
      </c>
      <c r="F295" s="15" t="s">
        <v>81</v>
      </c>
      <c r="G295" s="15" t="s">
        <v>82</v>
      </c>
      <c r="H295" s="15" t="s">
        <v>71</v>
      </c>
      <c r="I295" s="16">
        <v>26976</v>
      </c>
      <c r="J295" s="16">
        <v>23300</v>
      </c>
      <c r="K295" s="16">
        <v>26236</v>
      </c>
      <c r="L295" s="17">
        <v>244.3</v>
      </c>
      <c r="M295" s="17">
        <v>35.799999999999997</v>
      </c>
      <c r="N295" s="17">
        <f t="shared" si="12"/>
        <v>208.5</v>
      </c>
      <c r="O295" s="17">
        <v>173.1</v>
      </c>
      <c r="P295" s="17">
        <v>199.7</v>
      </c>
      <c r="Q295" s="17">
        <v>127.7</v>
      </c>
      <c r="R295" s="17">
        <f t="shared" si="13"/>
        <v>80.8</v>
      </c>
      <c r="S295" s="17">
        <v>107.1</v>
      </c>
      <c r="T295" s="17">
        <f t="shared" si="14"/>
        <v>66</v>
      </c>
    </row>
    <row r="296" spans="1:20" x14ac:dyDescent="0.35">
      <c r="A296" s="14" t="s">
        <v>62</v>
      </c>
      <c r="B296" s="15" t="s">
        <v>63</v>
      </c>
      <c r="C296" s="15" t="s">
        <v>93</v>
      </c>
      <c r="D296" s="15" t="s">
        <v>98</v>
      </c>
      <c r="E296" s="15" t="s">
        <v>66</v>
      </c>
      <c r="F296" s="15" t="s">
        <v>83</v>
      </c>
      <c r="G296" s="15" t="s">
        <v>84</v>
      </c>
      <c r="H296" s="15" t="s">
        <v>72</v>
      </c>
      <c r="I296" s="16">
        <v>23852</v>
      </c>
      <c r="J296" s="16">
        <v>18434</v>
      </c>
      <c r="K296" s="16">
        <v>23376</v>
      </c>
      <c r="L296" s="17">
        <v>641.5</v>
      </c>
      <c r="M296" s="17">
        <v>92.5</v>
      </c>
      <c r="N296" s="17">
        <f t="shared" si="12"/>
        <v>549</v>
      </c>
      <c r="O296" s="17">
        <v>407.8</v>
      </c>
      <c r="P296" s="17">
        <v>535</v>
      </c>
      <c r="Q296" s="17">
        <v>310.8</v>
      </c>
      <c r="R296" s="17">
        <f t="shared" si="13"/>
        <v>238.2</v>
      </c>
      <c r="S296" s="17">
        <v>236.5</v>
      </c>
      <c r="T296" s="17">
        <f t="shared" si="14"/>
        <v>171.3</v>
      </c>
    </row>
    <row r="297" spans="1:20" x14ac:dyDescent="0.35">
      <c r="A297" s="14" t="s">
        <v>62</v>
      </c>
      <c r="B297" s="15" t="s">
        <v>63</v>
      </c>
      <c r="C297" s="15" t="s">
        <v>93</v>
      </c>
      <c r="D297" s="15" t="s">
        <v>98</v>
      </c>
      <c r="E297" s="15" t="s">
        <v>89</v>
      </c>
      <c r="F297" s="15" t="s">
        <v>67</v>
      </c>
      <c r="G297" s="15" t="s">
        <v>68</v>
      </c>
      <c r="H297" s="15" t="s">
        <v>69</v>
      </c>
      <c r="I297" s="16">
        <v>501215</v>
      </c>
      <c r="J297" s="16">
        <v>456108</v>
      </c>
      <c r="K297" s="16">
        <v>486297</v>
      </c>
      <c r="L297" s="17">
        <v>2148.4</v>
      </c>
      <c r="M297" s="17">
        <v>130</v>
      </c>
      <c r="N297" s="17">
        <f t="shared" si="12"/>
        <v>2018.4</v>
      </c>
      <c r="O297" s="17">
        <v>1752.4</v>
      </c>
      <c r="P297" s="17">
        <v>1964</v>
      </c>
      <c r="Q297" s="17">
        <v>1103.9000000000001</v>
      </c>
      <c r="R297" s="17">
        <f t="shared" si="13"/>
        <v>914.5</v>
      </c>
      <c r="S297" s="17">
        <v>968.5</v>
      </c>
      <c r="T297" s="17">
        <f t="shared" si="14"/>
        <v>783.90000000000009</v>
      </c>
    </row>
    <row r="298" spans="1:20" x14ac:dyDescent="0.35">
      <c r="A298" s="14" t="s">
        <v>62</v>
      </c>
      <c r="B298" s="15" t="s">
        <v>63</v>
      </c>
      <c r="C298" s="15" t="s">
        <v>93</v>
      </c>
      <c r="D298" s="15" t="s">
        <v>98</v>
      </c>
      <c r="E298" s="15" t="s">
        <v>89</v>
      </c>
      <c r="F298" s="15" t="s">
        <v>67</v>
      </c>
      <c r="G298" s="15" t="s">
        <v>68</v>
      </c>
      <c r="H298" s="15" t="s">
        <v>70</v>
      </c>
      <c r="I298" s="16">
        <v>306413</v>
      </c>
      <c r="J298" s="16">
        <v>270722</v>
      </c>
      <c r="K298" s="16">
        <v>298238</v>
      </c>
      <c r="L298" s="17">
        <v>1593.9</v>
      </c>
      <c r="M298" s="17">
        <v>111.6</v>
      </c>
      <c r="N298" s="17">
        <f t="shared" si="12"/>
        <v>1482.3000000000002</v>
      </c>
      <c r="O298" s="17">
        <v>1236.0999999999999</v>
      </c>
      <c r="P298" s="17">
        <v>1423.4</v>
      </c>
      <c r="Q298" s="17">
        <v>831.8</v>
      </c>
      <c r="R298" s="17">
        <f t="shared" si="13"/>
        <v>650.50000000000023</v>
      </c>
      <c r="S298" s="17">
        <v>699.7</v>
      </c>
      <c r="T298" s="17">
        <f t="shared" si="14"/>
        <v>536.39999999999986</v>
      </c>
    </row>
    <row r="299" spans="1:20" x14ac:dyDescent="0.35">
      <c r="A299" s="14" t="s">
        <v>62</v>
      </c>
      <c r="B299" s="15" t="s">
        <v>63</v>
      </c>
      <c r="C299" s="15" t="s">
        <v>93</v>
      </c>
      <c r="D299" s="15" t="s">
        <v>98</v>
      </c>
      <c r="E299" s="15" t="s">
        <v>89</v>
      </c>
      <c r="F299" s="15" t="s">
        <v>67</v>
      </c>
      <c r="G299" s="15" t="s">
        <v>68</v>
      </c>
      <c r="H299" s="15" t="s">
        <v>71</v>
      </c>
      <c r="I299" s="16">
        <v>348194</v>
      </c>
      <c r="J299" s="16">
        <v>319334</v>
      </c>
      <c r="K299" s="16">
        <v>339654</v>
      </c>
      <c r="L299" s="17">
        <v>2303.6999999999998</v>
      </c>
      <c r="M299" s="17">
        <v>175.9</v>
      </c>
      <c r="N299" s="17">
        <f t="shared" si="12"/>
        <v>2127.7999999999997</v>
      </c>
      <c r="O299" s="17">
        <v>1851.8</v>
      </c>
      <c r="P299" s="17">
        <v>2047.5</v>
      </c>
      <c r="Q299" s="17">
        <v>1291.8</v>
      </c>
      <c r="R299" s="17">
        <f t="shared" si="13"/>
        <v>835.99999999999977</v>
      </c>
      <c r="S299" s="17">
        <v>1137.7</v>
      </c>
      <c r="T299" s="17">
        <f t="shared" si="14"/>
        <v>714.09999999999991</v>
      </c>
    </row>
    <row r="300" spans="1:20" x14ac:dyDescent="0.35">
      <c r="A300" s="14" t="s">
        <v>62</v>
      </c>
      <c r="B300" s="15" t="s">
        <v>63</v>
      </c>
      <c r="C300" s="15" t="s">
        <v>93</v>
      </c>
      <c r="D300" s="15" t="s">
        <v>98</v>
      </c>
      <c r="E300" s="15" t="s">
        <v>89</v>
      </c>
      <c r="F300" s="15" t="s">
        <v>67</v>
      </c>
      <c r="G300" s="15" t="s">
        <v>68</v>
      </c>
      <c r="H300" s="15" t="s">
        <v>72</v>
      </c>
      <c r="I300" s="16">
        <v>69233</v>
      </c>
      <c r="J300" s="16">
        <v>62245</v>
      </c>
      <c r="K300" s="16">
        <v>67020</v>
      </c>
      <c r="L300" s="17">
        <v>614.6</v>
      </c>
      <c r="M300" s="17">
        <v>38.200000000000003</v>
      </c>
      <c r="N300" s="17">
        <f t="shared" si="12"/>
        <v>576.4</v>
      </c>
      <c r="O300" s="17">
        <v>491.5</v>
      </c>
      <c r="P300" s="17">
        <v>554.4</v>
      </c>
      <c r="Q300" s="17">
        <v>372.5</v>
      </c>
      <c r="R300" s="17">
        <f t="shared" si="13"/>
        <v>203.89999999999998</v>
      </c>
      <c r="S300" s="17">
        <v>323.60000000000002</v>
      </c>
      <c r="T300" s="17">
        <f t="shared" si="14"/>
        <v>167.89999999999998</v>
      </c>
    </row>
    <row r="301" spans="1:20" x14ac:dyDescent="0.35">
      <c r="A301" s="14" t="s">
        <v>62</v>
      </c>
      <c r="B301" s="15" t="s">
        <v>63</v>
      </c>
      <c r="C301" s="15" t="s">
        <v>93</v>
      </c>
      <c r="D301" s="15" t="s">
        <v>98</v>
      </c>
      <c r="E301" s="15" t="s">
        <v>89</v>
      </c>
      <c r="F301" s="15" t="s">
        <v>67</v>
      </c>
      <c r="G301" s="15" t="s">
        <v>73</v>
      </c>
      <c r="H301" s="15" t="s">
        <v>71</v>
      </c>
      <c r="I301" s="16">
        <v>78306</v>
      </c>
      <c r="J301" s="16">
        <v>65103</v>
      </c>
      <c r="K301" s="16">
        <v>76478</v>
      </c>
      <c r="L301" s="17">
        <v>499.1</v>
      </c>
      <c r="M301" s="17">
        <v>32.299999999999997</v>
      </c>
      <c r="N301" s="17">
        <f t="shared" si="12"/>
        <v>466.8</v>
      </c>
      <c r="O301" s="17">
        <v>367.1</v>
      </c>
      <c r="P301" s="17">
        <v>449.2</v>
      </c>
      <c r="Q301" s="17">
        <v>289</v>
      </c>
      <c r="R301" s="17">
        <f t="shared" si="13"/>
        <v>177.8</v>
      </c>
      <c r="S301" s="17">
        <v>229.4</v>
      </c>
      <c r="T301" s="17">
        <f t="shared" si="14"/>
        <v>137.70000000000002</v>
      </c>
    </row>
    <row r="302" spans="1:20" x14ac:dyDescent="0.35">
      <c r="A302" s="14" t="s">
        <v>62</v>
      </c>
      <c r="B302" s="15" t="s">
        <v>63</v>
      </c>
      <c r="C302" s="15" t="s">
        <v>93</v>
      </c>
      <c r="D302" s="15" t="s">
        <v>98</v>
      </c>
      <c r="E302" s="15" t="s">
        <v>89</v>
      </c>
      <c r="F302" s="15" t="s">
        <v>67</v>
      </c>
      <c r="G302" s="15" t="s">
        <v>73</v>
      </c>
      <c r="H302" s="15" t="s">
        <v>72</v>
      </c>
      <c r="I302" s="16">
        <v>23958</v>
      </c>
      <c r="J302" s="16">
        <v>19551</v>
      </c>
      <c r="K302" s="16">
        <v>23144</v>
      </c>
      <c r="L302" s="17">
        <v>211.6</v>
      </c>
      <c r="M302" s="17">
        <v>14.8</v>
      </c>
      <c r="N302" s="17">
        <f t="shared" si="12"/>
        <v>196.79999999999998</v>
      </c>
      <c r="O302" s="17">
        <v>153</v>
      </c>
      <c r="P302" s="17">
        <v>191.7</v>
      </c>
      <c r="Q302" s="17">
        <v>124.9</v>
      </c>
      <c r="R302" s="17">
        <f t="shared" si="13"/>
        <v>71.899999999999977</v>
      </c>
      <c r="S302" s="17">
        <v>99</v>
      </c>
      <c r="T302" s="17">
        <f t="shared" si="14"/>
        <v>54</v>
      </c>
    </row>
    <row r="303" spans="1:20" x14ac:dyDescent="0.35">
      <c r="A303" s="14" t="s">
        <v>62</v>
      </c>
      <c r="B303" s="15" t="s">
        <v>63</v>
      </c>
      <c r="C303" s="15" t="s">
        <v>93</v>
      </c>
      <c r="D303" s="15" t="s">
        <v>98</v>
      </c>
      <c r="E303" s="15" t="s">
        <v>89</v>
      </c>
      <c r="F303" s="15" t="s">
        <v>67</v>
      </c>
      <c r="G303" s="15" t="s">
        <v>74</v>
      </c>
      <c r="H303" s="15" t="s">
        <v>70</v>
      </c>
      <c r="I303" s="16">
        <v>129210</v>
      </c>
      <c r="J303" s="16">
        <v>113912</v>
      </c>
      <c r="K303" s="16">
        <v>126510</v>
      </c>
      <c r="L303" s="17">
        <v>634.79999999999995</v>
      </c>
      <c r="M303" s="17">
        <v>38.799999999999997</v>
      </c>
      <c r="N303" s="17">
        <f t="shared" si="12"/>
        <v>596</v>
      </c>
      <c r="O303" s="17">
        <v>499.5</v>
      </c>
      <c r="P303" s="17">
        <v>571.4</v>
      </c>
      <c r="Q303" s="17">
        <v>333.8</v>
      </c>
      <c r="R303" s="17">
        <f t="shared" si="13"/>
        <v>262.2</v>
      </c>
      <c r="S303" s="17">
        <v>286.10000000000002</v>
      </c>
      <c r="T303" s="17">
        <f t="shared" si="14"/>
        <v>213.39999999999998</v>
      </c>
    </row>
    <row r="304" spans="1:20" x14ac:dyDescent="0.35">
      <c r="A304" s="14" t="s">
        <v>62</v>
      </c>
      <c r="B304" s="15" t="s">
        <v>63</v>
      </c>
      <c r="C304" s="15" t="s">
        <v>93</v>
      </c>
      <c r="D304" s="15" t="s">
        <v>98</v>
      </c>
      <c r="E304" s="15" t="s">
        <v>89</v>
      </c>
      <c r="F304" s="15" t="s">
        <v>67</v>
      </c>
      <c r="G304" s="15" t="s">
        <v>74</v>
      </c>
      <c r="H304" s="15" t="s">
        <v>71</v>
      </c>
      <c r="I304" s="16">
        <v>134674</v>
      </c>
      <c r="J304" s="16">
        <v>120413</v>
      </c>
      <c r="K304" s="16">
        <v>131381</v>
      </c>
      <c r="L304" s="17">
        <v>834.1</v>
      </c>
      <c r="M304" s="17">
        <v>55.9</v>
      </c>
      <c r="N304" s="17">
        <f t="shared" si="12"/>
        <v>778.2</v>
      </c>
      <c r="O304" s="17">
        <v>665.4</v>
      </c>
      <c r="P304" s="17">
        <v>746.1</v>
      </c>
      <c r="Q304" s="17">
        <v>491.8</v>
      </c>
      <c r="R304" s="17">
        <f t="shared" si="13"/>
        <v>286.40000000000003</v>
      </c>
      <c r="S304" s="17">
        <v>425.1</v>
      </c>
      <c r="T304" s="17">
        <f t="shared" si="14"/>
        <v>240.29999999999995</v>
      </c>
    </row>
    <row r="305" spans="1:20" x14ac:dyDescent="0.35">
      <c r="A305" s="14" t="s">
        <v>62</v>
      </c>
      <c r="B305" s="15" t="s">
        <v>63</v>
      </c>
      <c r="C305" s="15" t="s">
        <v>93</v>
      </c>
      <c r="D305" s="15" t="s">
        <v>98</v>
      </c>
      <c r="E305" s="15" t="s">
        <v>89</v>
      </c>
      <c r="F305" s="15" t="s">
        <v>67</v>
      </c>
      <c r="G305" s="15" t="s">
        <v>75</v>
      </c>
      <c r="H305" s="15" t="s">
        <v>71</v>
      </c>
      <c r="I305" s="16">
        <v>107570</v>
      </c>
      <c r="J305" s="16">
        <v>98175</v>
      </c>
      <c r="K305" s="16">
        <v>104554</v>
      </c>
      <c r="L305" s="17">
        <v>671.6</v>
      </c>
      <c r="M305" s="17">
        <v>47.2</v>
      </c>
      <c r="N305" s="17">
        <f t="shared" si="12"/>
        <v>624.4</v>
      </c>
      <c r="O305" s="17">
        <v>540.6</v>
      </c>
      <c r="P305" s="17">
        <v>601.20000000000005</v>
      </c>
      <c r="Q305" s="17">
        <v>380.5</v>
      </c>
      <c r="R305" s="17">
        <f t="shared" si="13"/>
        <v>243.89999999999998</v>
      </c>
      <c r="S305" s="17">
        <v>337.1</v>
      </c>
      <c r="T305" s="17">
        <f t="shared" si="14"/>
        <v>203.5</v>
      </c>
    </row>
    <row r="306" spans="1:20" x14ac:dyDescent="0.35">
      <c r="A306" s="14" t="s">
        <v>62</v>
      </c>
      <c r="B306" s="15" t="s">
        <v>63</v>
      </c>
      <c r="C306" s="15" t="s">
        <v>93</v>
      </c>
      <c r="D306" s="15" t="s">
        <v>98</v>
      </c>
      <c r="E306" s="15" t="s">
        <v>89</v>
      </c>
      <c r="F306" s="15" t="s">
        <v>67</v>
      </c>
      <c r="G306" s="15" t="s">
        <v>76</v>
      </c>
      <c r="H306" s="15" t="s">
        <v>72</v>
      </c>
      <c r="I306" s="16">
        <v>15957</v>
      </c>
      <c r="J306" s="16">
        <v>13849</v>
      </c>
      <c r="K306" s="16">
        <v>15559</v>
      </c>
      <c r="L306" s="17">
        <v>175.1</v>
      </c>
      <c r="M306" s="17">
        <v>13.5</v>
      </c>
      <c r="N306" s="17">
        <f t="shared" si="12"/>
        <v>161.6</v>
      </c>
      <c r="O306" s="17">
        <v>132.80000000000001</v>
      </c>
      <c r="P306" s="17">
        <v>155.80000000000001</v>
      </c>
      <c r="Q306" s="17">
        <v>101.4</v>
      </c>
      <c r="R306" s="17">
        <f t="shared" si="13"/>
        <v>60.199999999999989</v>
      </c>
      <c r="S306" s="17">
        <v>84.3</v>
      </c>
      <c r="T306" s="17">
        <f t="shared" si="14"/>
        <v>48.500000000000014</v>
      </c>
    </row>
    <row r="307" spans="1:20" x14ac:dyDescent="0.35">
      <c r="A307" s="14" t="s">
        <v>62</v>
      </c>
      <c r="B307" s="15" t="s">
        <v>63</v>
      </c>
      <c r="C307" s="15" t="s">
        <v>93</v>
      </c>
      <c r="D307" s="15" t="s">
        <v>98</v>
      </c>
      <c r="E307" s="15" t="s">
        <v>89</v>
      </c>
      <c r="F307" s="15" t="s">
        <v>79</v>
      </c>
      <c r="G307" s="15" t="s">
        <v>95</v>
      </c>
      <c r="H307" s="15" t="s">
        <v>71</v>
      </c>
      <c r="I307" s="16">
        <v>103253</v>
      </c>
      <c r="J307" s="16">
        <v>90247</v>
      </c>
      <c r="K307" s="16">
        <v>100096</v>
      </c>
      <c r="L307" s="17">
        <v>403.6</v>
      </c>
      <c r="M307" s="17">
        <v>28.8</v>
      </c>
      <c r="N307" s="17">
        <f t="shared" si="12"/>
        <v>374.8</v>
      </c>
      <c r="O307" s="17">
        <v>309.10000000000002</v>
      </c>
      <c r="P307" s="17">
        <v>365.3</v>
      </c>
      <c r="Q307" s="17">
        <v>226.9</v>
      </c>
      <c r="R307" s="17">
        <f t="shared" si="13"/>
        <v>147.9</v>
      </c>
      <c r="S307" s="17">
        <v>189.5</v>
      </c>
      <c r="T307" s="17">
        <f t="shared" si="14"/>
        <v>119.60000000000002</v>
      </c>
    </row>
    <row r="308" spans="1:20" x14ac:dyDescent="0.35">
      <c r="A308" s="14" t="s">
        <v>62</v>
      </c>
      <c r="B308" s="15" t="s">
        <v>63</v>
      </c>
      <c r="C308" s="15" t="s">
        <v>93</v>
      </c>
      <c r="D308" s="15" t="s">
        <v>98</v>
      </c>
      <c r="E308" s="15" t="s">
        <v>89</v>
      </c>
      <c r="F308" s="15" t="s">
        <v>81</v>
      </c>
      <c r="G308" s="15" t="s">
        <v>82</v>
      </c>
      <c r="H308" s="15" t="s">
        <v>71</v>
      </c>
      <c r="I308" s="16">
        <v>33063</v>
      </c>
      <c r="J308" s="16">
        <v>28682</v>
      </c>
      <c r="K308" s="16">
        <v>32227</v>
      </c>
      <c r="L308" s="17">
        <v>285.10000000000002</v>
      </c>
      <c r="M308" s="17">
        <v>19.3</v>
      </c>
      <c r="N308" s="17">
        <f t="shared" si="12"/>
        <v>265.8</v>
      </c>
      <c r="O308" s="17">
        <v>220.4</v>
      </c>
      <c r="P308" s="17">
        <v>254.6</v>
      </c>
      <c r="Q308" s="17">
        <v>164.8</v>
      </c>
      <c r="R308" s="17">
        <f t="shared" si="13"/>
        <v>101</v>
      </c>
      <c r="S308" s="17">
        <v>139.6</v>
      </c>
      <c r="T308" s="17">
        <f t="shared" si="14"/>
        <v>80.800000000000011</v>
      </c>
    </row>
    <row r="309" spans="1:20" x14ac:dyDescent="0.35">
      <c r="A309" s="14" t="s">
        <v>62</v>
      </c>
      <c r="B309" s="15" t="s">
        <v>63</v>
      </c>
      <c r="C309" s="15" t="s">
        <v>93</v>
      </c>
      <c r="D309" s="15" t="s">
        <v>98</v>
      </c>
      <c r="E309" s="15" t="s">
        <v>89</v>
      </c>
      <c r="F309" s="15" t="s">
        <v>83</v>
      </c>
      <c r="G309" s="15" t="s">
        <v>84</v>
      </c>
      <c r="H309" s="15" t="s">
        <v>72</v>
      </c>
      <c r="I309" s="16">
        <v>13438</v>
      </c>
      <c r="J309" s="16">
        <v>10526</v>
      </c>
      <c r="K309" s="16">
        <v>12985</v>
      </c>
      <c r="L309" s="17">
        <v>355.6</v>
      </c>
      <c r="M309" s="17">
        <v>24.9</v>
      </c>
      <c r="N309" s="17">
        <f t="shared" si="12"/>
        <v>330.70000000000005</v>
      </c>
      <c r="O309" s="17">
        <v>245.2</v>
      </c>
      <c r="P309" s="17">
        <v>319.3</v>
      </c>
      <c r="Q309" s="17">
        <v>195.9</v>
      </c>
      <c r="R309" s="17">
        <f t="shared" si="13"/>
        <v>134.80000000000004</v>
      </c>
      <c r="S309" s="17">
        <v>146.19999999999999</v>
      </c>
      <c r="T309" s="17">
        <f t="shared" si="14"/>
        <v>99</v>
      </c>
    </row>
    <row r="310" spans="1:20" x14ac:dyDescent="0.35">
      <c r="A310" s="14" t="s">
        <v>62</v>
      </c>
      <c r="B310" s="15" t="s">
        <v>63</v>
      </c>
      <c r="C310" s="15" t="s">
        <v>93</v>
      </c>
      <c r="D310" s="15" t="s">
        <v>98</v>
      </c>
      <c r="E310" s="15" t="s">
        <v>90</v>
      </c>
      <c r="F310" s="15" t="s">
        <v>67</v>
      </c>
      <c r="G310" s="15" t="s">
        <v>68</v>
      </c>
      <c r="H310" s="15" t="s">
        <v>69</v>
      </c>
      <c r="I310" s="16">
        <v>167040</v>
      </c>
      <c r="J310" s="16">
        <v>154726</v>
      </c>
      <c r="K310" s="16">
        <v>161993</v>
      </c>
      <c r="L310" s="17">
        <v>689.4</v>
      </c>
      <c r="M310" s="17">
        <v>82.6</v>
      </c>
      <c r="N310" s="17">
        <f t="shared" si="12"/>
        <v>606.79999999999995</v>
      </c>
      <c r="O310" s="17">
        <v>535.1</v>
      </c>
      <c r="P310" s="17">
        <v>587</v>
      </c>
      <c r="Q310" s="17">
        <v>325.89999999999998</v>
      </c>
      <c r="R310" s="17">
        <f t="shared" si="13"/>
        <v>280.89999999999998</v>
      </c>
      <c r="S310" s="17">
        <v>291.10000000000002</v>
      </c>
      <c r="T310" s="17">
        <f t="shared" si="14"/>
        <v>244</v>
      </c>
    </row>
    <row r="311" spans="1:20" x14ac:dyDescent="0.35">
      <c r="A311" s="14" t="s">
        <v>62</v>
      </c>
      <c r="B311" s="15" t="s">
        <v>63</v>
      </c>
      <c r="C311" s="15" t="s">
        <v>93</v>
      </c>
      <c r="D311" s="15" t="s">
        <v>98</v>
      </c>
      <c r="E311" s="15" t="s">
        <v>90</v>
      </c>
      <c r="F311" s="15" t="s">
        <v>67</v>
      </c>
      <c r="G311" s="15" t="s">
        <v>68</v>
      </c>
      <c r="H311" s="15" t="s">
        <v>70</v>
      </c>
      <c r="I311" s="16">
        <v>126169</v>
      </c>
      <c r="J311" s="16">
        <v>114091</v>
      </c>
      <c r="K311" s="16">
        <v>123420</v>
      </c>
      <c r="L311" s="17">
        <v>599.4</v>
      </c>
      <c r="M311" s="17">
        <v>65.3</v>
      </c>
      <c r="N311" s="17">
        <f t="shared" si="12"/>
        <v>534.1</v>
      </c>
      <c r="O311" s="17">
        <v>460.9</v>
      </c>
      <c r="P311" s="17">
        <v>517.6</v>
      </c>
      <c r="Q311" s="17">
        <v>308.89999999999998</v>
      </c>
      <c r="R311" s="17">
        <f t="shared" si="13"/>
        <v>225.20000000000005</v>
      </c>
      <c r="S311" s="17">
        <v>269.2</v>
      </c>
      <c r="T311" s="17">
        <f t="shared" si="14"/>
        <v>191.7</v>
      </c>
    </row>
    <row r="312" spans="1:20" x14ac:dyDescent="0.35">
      <c r="A312" s="14" t="s">
        <v>62</v>
      </c>
      <c r="B312" s="15" t="s">
        <v>63</v>
      </c>
      <c r="C312" s="15" t="s">
        <v>93</v>
      </c>
      <c r="D312" s="15" t="s">
        <v>98</v>
      </c>
      <c r="E312" s="15" t="s">
        <v>90</v>
      </c>
      <c r="F312" s="15" t="s">
        <v>67</v>
      </c>
      <c r="G312" s="15" t="s">
        <v>68</v>
      </c>
      <c r="H312" s="15" t="s">
        <v>71</v>
      </c>
      <c r="I312" s="16">
        <v>182046</v>
      </c>
      <c r="J312" s="16">
        <v>166707</v>
      </c>
      <c r="K312" s="16">
        <v>176291</v>
      </c>
      <c r="L312" s="17">
        <v>1124.7</v>
      </c>
      <c r="M312" s="17">
        <v>134.1</v>
      </c>
      <c r="N312" s="17">
        <f t="shared" si="12"/>
        <v>990.6</v>
      </c>
      <c r="O312" s="17">
        <v>869.6</v>
      </c>
      <c r="P312" s="17">
        <v>959.1</v>
      </c>
      <c r="Q312" s="17">
        <v>618.29999999999995</v>
      </c>
      <c r="R312" s="17">
        <f t="shared" si="13"/>
        <v>372.30000000000007</v>
      </c>
      <c r="S312" s="17">
        <v>552.29999999999995</v>
      </c>
      <c r="T312" s="17">
        <f t="shared" si="14"/>
        <v>317.30000000000007</v>
      </c>
    </row>
    <row r="313" spans="1:20" x14ac:dyDescent="0.35">
      <c r="A313" s="14" t="s">
        <v>62</v>
      </c>
      <c r="B313" s="15" t="s">
        <v>63</v>
      </c>
      <c r="C313" s="15" t="s">
        <v>93</v>
      </c>
      <c r="D313" s="15" t="s">
        <v>98</v>
      </c>
      <c r="E313" s="15" t="s">
        <v>90</v>
      </c>
      <c r="F313" s="15" t="s">
        <v>67</v>
      </c>
      <c r="G313" s="15" t="s">
        <v>68</v>
      </c>
      <c r="H313" s="15" t="s">
        <v>72</v>
      </c>
      <c r="I313" s="16">
        <v>49864</v>
      </c>
      <c r="J313" s="16">
        <v>44914</v>
      </c>
      <c r="K313" s="16">
        <v>48363</v>
      </c>
      <c r="L313" s="17">
        <v>403</v>
      </c>
      <c r="M313" s="17">
        <v>43.4</v>
      </c>
      <c r="N313" s="17">
        <f t="shared" si="12"/>
        <v>359.6</v>
      </c>
      <c r="O313" s="17">
        <v>307.3</v>
      </c>
      <c r="P313" s="17">
        <v>350.4</v>
      </c>
      <c r="Q313" s="17">
        <v>226.2</v>
      </c>
      <c r="R313" s="17">
        <f t="shared" si="13"/>
        <v>133.40000000000003</v>
      </c>
      <c r="S313" s="17">
        <v>196.6</v>
      </c>
      <c r="T313" s="17">
        <f t="shared" si="14"/>
        <v>110.70000000000002</v>
      </c>
    </row>
    <row r="314" spans="1:20" x14ac:dyDescent="0.35">
      <c r="A314" s="14" t="s">
        <v>62</v>
      </c>
      <c r="B314" s="15" t="s">
        <v>63</v>
      </c>
      <c r="C314" s="15" t="s">
        <v>93</v>
      </c>
      <c r="D314" s="15" t="s">
        <v>98</v>
      </c>
      <c r="E314" s="15" t="s">
        <v>90</v>
      </c>
      <c r="F314" s="15" t="s">
        <v>67</v>
      </c>
      <c r="G314" s="15" t="s">
        <v>73</v>
      </c>
      <c r="H314" s="15" t="s">
        <v>71</v>
      </c>
      <c r="I314" s="16">
        <v>45096</v>
      </c>
      <c r="J314" s="16">
        <v>38298</v>
      </c>
      <c r="K314" s="16">
        <v>43787</v>
      </c>
      <c r="L314" s="17">
        <v>262.2</v>
      </c>
      <c r="M314" s="17">
        <v>27.7</v>
      </c>
      <c r="N314" s="17">
        <f t="shared" si="12"/>
        <v>234.5</v>
      </c>
      <c r="O314" s="17">
        <v>190.2</v>
      </c>
      <c r="P314" s="17">
        <v>227</v>
      </c>
      <c r="Q314" s="17">
        <v>146.6</v>
      </c>
      <c r="R314" s="17">
        <f t="shared" si="13"/>
        <v>87.9</v>
      </c>
      <c r="S314" s="17">
        <v>120.3</v>
      </c>
      <c r="T314" s="17">
        <f t="shared" si="14"/>
        <v>69.899999999999991</v>
      </c>
    </row>
    <row r="315" spans="1:20" x14ac:dyDescent="0.35">
      <c r="A315" s="14" t="s">
        <v>62</v>
      </c>
      <c r="B315" s="15" t="s">
        <v>63</v>
      </c>
      <c r="C315" s="15" t="s">
        <v>93</v>
      </c>
      <c r="D315" s="15" t="s">
        <v>98</v>
      </c>
      <c r="E315" s="15" t="s">
        <v>90</v>
      </c>
      <c r="F315" s="15" t="s">
        <v>67</v>
      </c>
      <c r="G315" s="15" t="s">
        <v>73</v>
      </c>
      <c r="H315" s="15" t="s">
        <v>72</v>
      </c>
      <c r="I315" s="16">
        <v>17719</v>
      </c>
      <c r="J315" s="16">
        <v>14562</v>
      </c>
      <c r="K315" s="16">
        <v>17175</v>
      </c>
      <c r="L315" s="17">
        <v>139.30000000000001</v>
      </c>
      <c r="M315" s="17">
        <v>14.3</v>
      </c>
      <c r="N315" s="17">
        <f t="shared" si="12"/>
        <v>125.00000000000001</v>
      </c>
      <c r="O315" s="17">
        <v>98.5</v>
      </c>
      <c r="P315" s="17">
        <v>119.7</v>
      </c>
      <c r="Q315" s="17">
        <v>80.3</v>
      </c>
      <c r="R315" s="17">
        <f t="shared" si="13"/>
        <v>44.700000000000017</v>
      </c>
      <c r="S315" s="17">
        <v>63.8</v>
      </c>
      <c r="T315" s="17">
        <f t="shared" si="14"/>
        <v>34.700000000000003</v>
      </c>
    </row>
    <row r="316" spans="1:20" x14ac:dyDescent="0.35">
      <c r="A316" s="14" t="s">
        <v>62</v>
      </c>
      <c r="B316" s="15" t="s">
        <v>63</v>
      </c>
      <c r="C316" s="15" t="s">
        <v>93</v>
      </c>
      <c r="D316" s="15" t="s">
        <v>98</v>
      </c>
      <c r="E316" s="15" t="s">
        <v>90</v>
      </c>
      <c r="F316" s="15" t="s">
        <v>67</v>
      </c>
      <c r="G316" s="15" t="s">
        <v>74</v>
      </c>
      <c r="H316" s="15" t="s">
        <v>70</v>
      </c>
      <c r="I316" s="16">
        <v>55983</v>
      </c>
      <c r="J316" s="16">
        <v>50051</v>
      </c>
      <c r="K316" s="16">
        <v>54485</v>
      </c>
      <c r="L316" s="17">
        <v>254.5</v>
      </c>
      <c r="M316" s="17">
        <v>26.4</v>
      </c>
      <c r="N316" s="17">
        <f t="shared" si="12"/>
        <v>228.1</v>
      </c>
      <c r="O316" s="17">
        <v>194.5</v>
      </c>
      <c r="P316" s="17">
        <v>219</v>
      </c>
      <c r="Q316" s="17">
        <v>128.30000000000001</v>
      </c>
      <c r="R316" s="17">
        <f t="shared" si="13"/>
        <v>99.799999999999983</v>
      </c>
      <c r="S316" s="17">
        <v>112.2</v>
      </c>
      <c r="T316" s="17">
        <f t="shared" si="14"/>
        <v>82.3</v>
      </c>
    </row>
    <row r="317" spans="1:20" x14ac:dyDescent="0.35">
      <c r="A317" s="14" t="s">
        <v>62</v>
      </c>
      <c r="B317" s="15" t="s">
        <v>63</v>
      </c>
      <c r="C317" s="15" t="s">
        <v>93</v>
      </c>
      <c r="D317" s="15" t="s">
        <v>98</v>
      </c>
      <c r="E317" s="15" t="s">
        <v>90</v>
      </c>
      <c r="F317" s="15" t="s">
        <v>67</v>
      </c>
      <c r="G317" s="15" t="s">
        <v>74</v>
      </c>
      <c r="H317" s="15" t="s">
        <v>71</v>
      </c>
      <c r="I317" s="16">
        <v>79484</v>
      </c>
      <c r="J317" s="16">
        <v>72940</v>
      </c>
      <c r="K317" s="16">
        <v>77135</v>
      </c>
      <c r="L317" s="17">
        <v>464.2</v>
      </c>
      <c r="M317" s="17">
        <v>46.7</v>
      </c>
      <c r="N317" s="17">
        <f t="shared" si="12"/>
        <v>417.5</v>
      </c>
      <c r="O317" s="17">
        <v>361.7</v>
      </c>
      <c r="P317" s="17">
        <v>401</v>
      </c>
      <c r="Q317" s="17">
        <v>262.39999999999998</v>
      </c>
      <c r="R317" s="17">
        <f t="shared" si="13"/>
        <v>155.10000000000002</v>
      </c>
      <c r="S317" s="17">
        <v>230.7</v>
      </c>
      <c r="T317" s="17">
        <f t="shared" si="14"/>
        <v>131</v>
      </c>
    </row>
    <row r="318" spans="1:20" x14ac:dyDescent="0.35">
      <c r="A318" s="14" t="s">
        <v>62</v>
      </c>
      <c r="B318" s="15" t="s">
        <v>63</v>
      </c>
      <c r="C318" s="15" t="s">
        <v>93</v>
      </c>
      <c r="D318" s="15" t="s">
        <v>98</v>
      </c>
      <c r="E318" s="15" t="s">
        <v>90</v>
      </c>
      <c r="F318" s="15" t="s">
        <v>67</v>
      </c>
      <c r="G318" s="15" t="s">
        <v>75</v>
      </c>
      <c r="H318" s="15" t="s">
        <v>71</v>
      </c>
      <c r="I318" s="16">
        <v>50539</v>
      </c>
      <c r="J318" s="16">
        <v>46012</v>
      </c>
      <c r="K318" s="16">
        <v>49089</v>
      </c>
      <c r="L318" s="17">
        <v>287.89999999999998</v>
      </c>
      <c r="M318" s="17">
        <v>32.1</v>
      </c>
      <c r="N318" s="17">
        <f t="shared" si="12"/>
        <v>255.79999999999998</v>
      </c>
      <c r="O318" s="17">
        <v>220.4</v>
      </c>
      <c r="P318" s="17">
        <v>249.2</v>
      </c>
      <c r="Q318" s="17">
        <v>154.9</v>
      </c>
      <c r="R318" s="17">
        <f t="shared" si="13"/>
        <v>100.89999999999998</v>
      </c>
      <c r="S318" s="17">
        <v>136.1</v>
      </c>
      <c r="T318" s="17">
        <f t="shared" si="14"/>
        <v>84.300000000000011</v>
      </c>
    </row>
    <row r="319" spans="1:20" x14ac:dyDescent="0.35">
      <c r="A319" s="14" t="s">
        <v>62</v>
      </c>
      <c r="B319" s="15" t="s">
        <v>63</v>
      </c>
      <c r="C319" s="15" t="s">
        <v>93</v>
      </c>
      <c r="D319" s="15" t="s">
        <v>98</v>
      </c>
      <c r="E319" s="15" t="s">
        <v>90</v>
      </c>
      <c r="F319" s="15" t="s">
        <v>67</v>
      </c>
      <c r="G319" s="15" t="s">
        <v>76</v>
      </c>
      <c r="H319" s="15" t="s">
        <v>72</v>
      </c>
      <c r="I319" s="16">
        <v>12263</v>
      </c>
      <c r="J319" s="16">
        <v>10898</v>
      </c>
      <c r="K319" s="16">
        <v>11946</v>
      </c>
      <c r="L319" s="17">
        <v>116.3</v>
      </c>
      <c r="M319" s="17">
        <v>13.4</v>
      </c>
      <c r="N319" s="17">
        <f t="shared" si="12"/>
        <v>102.89999999999999</v>
      </c>
      <c r="O319" s="17">
        <v>86.5</v>
      </c>
      <c r="P319" s="17">
        <v>98.6</v>
      </c>
      <c r="Q319" s="17">
        <v>65.099999999999994</v>
      </c>
      <c r="R319" s="17">
        <f t="shared" si="13"/>
        <v>37.799999999999997</v>
      </c>
      <c r="S319" s="17">
        <v>55.9</v>
      </c>
      <c r="T319" s="17">
        <f t="shared" si="14"/>
        <v>30.6</v>
      </c>
    </row>
    <row r="320" spans="1:20" x14ac:dyDescent="0.35">
      <c r="A320" s="14" t="s">
        <v>62</v>
      </c>
      <c r="B320" s="15" t="s">
        <v>63</v>
      </c>
      <c r="C320" s="15" t="s">
        <v>93</v>
      </c>
      <c r="D320" s="15" t="s">
        <v>98</v>
      </c>
      <c r="E320" s="15" t="s">
        <v>90</v>
      </c>
      <c r="F320" s="15" t="s">
        <v>79</v>
      </c>
      <c r="G320" s="15" t="s">
        <v>95</v>
      </c>
      <c r="H320" s="15" t="s">
        <v>71</v>
      </c>
      <c r="I320" s="16">
        <v>52759</v>
      </c>
      <c r="J320" s="16">
        <v>47715</v>
      </c>
      <c r="K320" s="16">
        <v>51703</v>
      </c>
      <c r="L320" s="17">
        <v>185.6</v>
      </c>
      <c r="M320" s="17">
        <v>19.3</v>
      </c>
      <c r="N320" s="17">
        <f t="shared" si="12"/>
        <v>166.29999999999998</v>
      </c>
      <c r="O320" s="17">
        <v>143.19999999999999</v>
      </c>
      <c r="P320" s="17">
        <v>161.69999999999999</v>
      </c>
      <c r="Q320" s="17">
        <v>102.2</v>
      </c>
      <c r="R320" s="17">
        <f t="shared" si="13"/>
        <v>64.09999999999998</v>
      </c>
      <c r="S320" s="17">
        <v>88.8</v>
      </c>
      <c r="T320" s="17">
        <f t="shared" si="14"/>
        <v>54.399999999999991</v>
      </c>
    </row>
    <row r="321" spans="1:20" x14ac:dyDescent="0.35">
      <c r="A321" s="14" t="s">
        <v>62</v>
      </c>
      <c r="B321" s="15" t="s">
        <v>63</v>
      </c>
      <c r="C321" s="15" t="s">
        <v>93</v>
      </c>
      <c r="D321" s="15" t="s">
        <v>98</v>
      </c>
      <c r="E321" s="15" t="s">
        <v>90</v>
      </c>
      <c r="F321" s="15" t="s">
        <v>81</v>
      </c>
      <c r="G321" s="15" t="s">
        <v>82</v>
      </c>
      <c r="H321" s="15" t="s">
        <v>71</v>
      </c>
      <c r="I321" s="16">
        <v>17351</v>
      </c>
      <c r="J321" s="16">
        <v>15318</v>
      </c>
      <c r="K321" s="16">
        <v>16794</v>
      </c>
      <c r="L321" s="17">
        <v>130.80000000000001</v>
      </c>
      <c r="M321" s="17">
        <v>13.6</v>
      </c>
      <c r="N321" s="17">
        <f t="shared" si="12"/>
        <v>117.20000000000002</v>
      </c>
      <c r="O321" s="17">
        <v>98.5</v>
      </c>
      <c r="P321" s="17">
        <v>112.7</v>
      </c>
      <c r="Q321" s="17">
        <v>74.2</v>
      </c>
      <c r="R321" s="17">
        <f t="shared" si="13"/>
        <v>43.000000000000014</v>
      </c>
      <c r="S321" s="17">
        <v>63.2</v>
      </c>
      <c r="T321" s="17">
        <f t="shared" si="14"/>
        <v>35.299999999999997</v>
      </c>
    </row>
    <row r="322" spans="1:20" x14ac:dyDescent="0.35">
      <c r="A322" s="14" t="s">
        <v>62</v>
      </c>
      <c r="B322" s="15" t="s">
        <v>63</v>
      </c>
      <c r="C322" s="15" t="s">
        <v>93</v>
      </c>
      <c r="D322" s="15" t="s">
        <v>98</v>
      </c>
      <c r="E322" s="15" t="s">
        <v>90</v>
      </c>
      <c r="F322" s="15" t="s">
        <v>83</v>
      </c>
      <c r="G322" s="15" t="s">
        <v>84</v>
      </c>
      <c r="H322" s="15" t="s">
        <v>72</v>
      </c>
      <c r="I322" s="16">
        <v>10754</v>
      </c>
      <c r="J322" s="16">
        <v>8598</v>
      </c>
      <c r="K322" s="16">
        <v>10508</v>
      </c>
      <c r="L322" s="17">
        <v>257.60000000000002</v>
      </c>
      <c r="M322" s="17">
        <v>29.3</v>
      </c>
      <c r="N322" s="17">
        <f t="shared" si="12"/>
        <v>228.3</v>
      </c>
      <c r="O322" s="17">
        <v>172.7</v>
      </c>
      <c r="P322" s="17">
        <v>220.2</v>
      </c>
      <c r="Q322" s="17">
        <v>131.69999999999999</v>
      </c>
      <c r="R322" s="17">
        <f t="shared" si="13"/>
        <v>96.600000000000023</v>
      </c>
      <c r="S322" s="17">
        <v>101.6</v>
      </c>
      <c r="T322" s="17">
        <f t="shared" si="14"/>
        <v>71.099999999999994</v>
      </c>
    </row>
    <row r="323" spans="1:20" x14ac:dyDescent="0.35">
      <c r="A323" s="14" t="s">
        <v>62</v>
      </c>
      <c r="B323" s="15" t="s">
        <v>63</v>
      </c>
      <c r="C323" s="15" t="s">
        <v>93</v>
      </c>
      <c r="D323" s="15" t="s">
        <v>98</v>
      </c>
      <c r="E323" s="15" t="s">
        <v>91</v>
      </c>
      <c r="F323" s="15" t="s">
        <v>67</v>
      </c>
      <c r="G323" s="15" t="s">
        <v>68</v>
      </c>
      <c r="H323" s="15" t="s">
        <v>69</v>
      </c>
      <c r="I323" s="16">
        <v>103959</v>
      </c>
      <c r="J323" s="16">
        <v>92039</v>
      </c>
      <c r="K323" s="16">
        <v>101849</v>
      </c>
      <c r="L323" s="17">
        <v>486.4</v>
      </c>
      <c r="M323" s="17">
        <v>28.9</v>
      </c>
      <c r="N323" s="17">
        <f t="shared" si="12"/>
        <v>457.5</v>
      </c>
      <c r="O323" s="17">
        <v>384.2</v>
      </c>
      <c r="P323" s="17">
        <v>443.3</v>
      </c>
      <c r="Q323" s="17">
        <v>245.1</v>
      </c>
      <c r="R323" s="17">
        <f t="shared" si="13"/>
        <v>212.4</v>
      </c>
      <c r="S323" s="17">
        <v>207.8</v>
      </c>
      <c r="T323" s="17">
        <f t="shared" si="14"/>
        <v>176.39999999999998</v>
      </c>
    </row>
    <row r="324" spans="1:20" x14ac:dyDescent="0.35">
      <c r="A324" s="14" t="s">
        <v>62</v>
      </c>
      <c r="B324" s="15" t="s">
        <v>63</v>
      </c>
      <c r="C324" s="15" t="s">
        <v>93</v>
      </c>
      <c r="D324" s="15" t="s">
        <v>98</v>
      </c>
      <c r="E324" s="15" t="s">
        <v>91</v>
      </c>
      <c r="F324" s="15" t="s">
        <v>67</v>
      </c>
      <c r="G324" s="15" t="s">
        <v>68</v>
      </c>
      <c r="H324" s="15" t="s">
        <v>70</v>
      </c>
      <c r="I324" s="16">
        <v>30285</v>
      </c>
      <c r="J324" s="16">
        <v>26272</v>
      </c>
      <c r="K324" s="16">
        <v>29489</v>
      </c>
      <c r="L324" s="17">
        <v>166.1</v>
      </c>
      <c r="M324" s="17">
        <v>9.1</v>
      </c>
      <c r="N324" s="17">
        <f t="shared" ref="N324:N387" si="15">L324-M324</f>
        <v>157</v>
      </c>
      <c r="O324" s="17">
        <v>130.80000000000001</v>
      </c>
      <c r="P324" s="17">
        <v>151</v>
      </c>
      <c r="Q324" s="17">
        <v>90.8</v>
      </c>
      <c r="R324" s="17">
        <f t="shared" ref="R324:R387" si="16">N324-Q324</f>
        <v>66.2</v>
      </c>
      <c r="S324" s="17">
        <v>76.900000000000006</v>
      </c>
      <c r="T324" s="17">
        <f t="shared" ref="T324:T387" si="17">O324-S324</f>
        <v>53.900000000000006</v>
      </c>
    </row>
    <row r="325" spans="1:20" x14ac:dyDescent="0.35">
      <c r="A325" s="14" t="s">
        <v>62</v>
      </c>
      <c r="B325" s="15" t="s">
        <v>63</v>
      </c>
      <c r="C325" s="15" t="s">
        <v>93</v>
      </c>
      <c r="D325" s="15" t="s">
        <v>98</v>
      </c>
      <c r="E325" s="15" t="s">
        <v>91</v>
      </c>
      <c r="F325" s="15" t="s">
        <v>67</v>
      </c>
      <c r="G325" s="15" t="s">
        <v>68</v>
      </c>
      <c r="H325" s="15" t="s">
        <v>71</v>
      </c>
      <c r="I325" s="16">
        <v>55996</v>
      </c>
      <c r="J325" s="16">
        <v>49289</v>
      </c>
      <c r="K325" s="16">
        <v>54458</v>
      </c>
      <c r="L325" s="17">
        <v>392.5</v>
      </c>
      <c r="M325" s="17">
        <v>16.899999999999999</v>
      </c>
      <c r="N325" s="17">
        <f t="shared" si="15"/>
        <v>375.6</v>
      </c>
      <c r="O325" s="17">
        <v>313.5</v>
      </c>
      <c r="P325" s="17">
        <v>359.3</v>
      </c>
      <c r="Q325" s="17">
        <v>236.3</v>
      </c>
      <c r="R325" s="17">
        <f t="shared" si="16"/>
        <v>139.30000000000001</v>
      </c>
      <c r="S325" s="17">
        <v>199.2</v>
      </c>
      <c r="T325" s="17">
        <f t="shared" si="17"/>
        <v>114.30000000000001</v>
      </c>
    </row>
    <row r="326" spans="1:20" x14ac:dyDescent="0.35">
      <c r="A326" s="14" t="s">
        <v>62</v>
      </c>
      <c r="B326" s="15" t="s">
        <v>63</v>
      </c>
      <c r="C326" s="15" t="s">
        <v>93</v>
      </c>
      <c r="D326" s="15" t="s">
        <v>98</v>
      </c>
      <c r="E326" s="15" t="s">
        <v>91</v>
      </c>
      <c r="F326" s="15" t="s">
        <v>67</v>
      </c>
      <c r="G326" s="15" t="s">
        <v>68</v>
      </c>
      <c r="H326" s="15" t="s">
        <v>72</v>
      </c>
      <c r="I326" s="16">
        <v>30199</v>
      </c>
      <c r="J326" s="16">
        <v>26251</v>
      </c>
      <c r="K326" s="16">
        <v>29155</v>
      </c>
      <c r="L326" s="17">
        <v>283.2</v>
      </c>
      <c r="M326" s="17">
        <v>13.1</v>
      </c>
      <c r="N326" s="17">
        <f t="shared" si="15"/>
        <v>270.09999999999997</v>
      </c>
      <c r="O326" s="17">
        <v>223</v>
      </c>
      <c r="P326" s="17">
        <v>260.2</v>
      </c>
      <c r="Q326" s="17">
        <v>171.8</v>
      </c>
      <c r="R326" s="17">
        <f t="shared" si="16"/>
        <v>98.299999999999955</v>
      </c>
      <c r="S326" s="17">
        <v>143.19999999999999</v>
      </c>
      <c r="T326" s="17">
        <f t="shared" si="17"/>
        <v>79.800000000000011</v>
      </c>
    </row>
    <row r="327" spans="1:20" x14ac:dyDescent="0.35">
      <c r="A327" s="14" t="s">
        <v>62</v>
      </c>
      <c r="B327" s="15" t="s">
        <v>63</v>
      </c>
      <c r="C327" s="15" t="s">
        <v>93</v>
      </c>
      <c r="D327" s="15" t="s">
        <v>98</v>
      </c>
      <c r="E327" s="15" t="s">
        <v>91</v>
      </c>
      <c r="F327" s="15" t="s">
        <v>67</v>
      </c>
      <c r="G327" s="15" t="s">
        <v>73</v>
      </c>
      <c r="H327" s="15" t="s">
        <v>71</v>
      </c>
      <c r="I327" s="16">
        <v>14612</v>
      </c>
      <c r="J327" s="16">
        <v>11741</v>
      </c>
      <c r="K327" s="16">
        <v>14325</v>
      </c>
      <c r="L327" s="17">
        <v>101</v>
      </c>
      <c r="M327" s="17">
        <v>4.0999999999999996</v>
      </c>
      <c r="N327" s="17">
        <f t="shared" si="15"/>
        <v>96.9</v>
      </c>
      <c r="O327" s="17">
        <v>73.7</v>
      </c>
      <c r="P327" s="17">
        <v>93</v>
      </c>
      <c r="Q327" s="17">
        <v>61</v>
      </c>
      <c r="R327" s="17">
        <f t="shared" si="16"/>
        <v>35.900000000000006</v>
      </c>
      <c r="S327" s="17">
        <v>47.1</v>
      </c>
      <c r="T327" s="17">
        <f t="shared" si="17"/>
        <v>26.6</v>
      </c>
    </row>
    <row r="328" spans="1:20" x14ac:dyDescent="0.35">
      <c r="A328" s="14" t="s">
        <v>62</v>
      </c>
      <c r="B328" s="15" t="s">
        <v>63</v>
      </c>
      <c r="C328" s="15" t="s">
        <v>93</v>
      </c>
      <c r="D328" s="15" t="s">
        <v>98</v>
      </c>
      <c r="E328" s="15" t="s">
        <v>91</v>
      </c>
      <c r="F328" s="15" t="s">
        <v>67</v>
      </c>
      <c r="G328" s="15" t="s">
        <v>73</v>
      </c>
      <c r="H328" s="15" t="s">
        <v>72</v>
      </c>
      <c r="I328" s="16">
        <v>9709</v>
      </c>
      <c r="J328" s="16">
        <v>7808</v>
      </c>
      <c r="K328" s="16">
        <v>9442</v>
      </c>
      <c r="L328" s="17">
        <v>89.3</v>
      </c>
      <c r="M328" s="17">
        <v>3.9</v>
      </c>
      <c r="N328" s="17">
        <f t="shared" si="15"/>
        <v>85.399999999999991</v>
      </c>
      <c r="O328" s="17">
        <v>65.7</v>
      </c>
      <c r="P328" s="17">
        <v>82.2</v>
      </c>
      <c r="Q328" s="17">
        <v>53.9</v>
      </c>
      <c r="R328" s="17">
        <f t="shared" si="16"/>
        <v>31.499999999999993</v>
      </c>
      <c r="S328" s="17">
        <v>42.2</v>
      </c>
      <c r="T328" s="17">
        <f t="shared" si="17"/>
        <v>23.5</v>
      </c>
    </row>
    <row r="329" spans="1:20" x14ac:dyDescent="0.35">
      <c r="A329" s="14" t="s">
        <v>62</v>
      </c>
      <c r="B329" s="15" t="s">
        <v>63</v>
      </c>
      <c r="C329" s="15" t="s">
        <v>93</v>
      </c>
      <c r="D329" s="15" t="s">
        <v>98</v>
      </c>
      <c r="E329" s="15" t="s">
        <v>91</v>
      </c>
      <c r="F329" s="15" t="s">
        <v>67</v>
      </c>
      <c r="G329" s="15" t="s">
        <v>74</v>
      </c>
      <c r="H329" s="15" t="s">
        <v>70</v>
      </c>
      <c r="I329" s="16">
        <v>13637</v>
      </c>
      <c r="J329" s="16">
        <v>11810</v>
      </c>
      <c r="K329" s="16">
        <v>13353</v>
      </c>
      <c r="L329" s="17">
        <v>75</v>
      </c>
      <c r="M329" s="17">
        <v>3.9</v>
      </c>
      <c r="N329" s="17">
        <f t="shared" si="15"/>
        <v>71.099999999999994</v>
      </c>
      <c r="O329" s="17">
        <v>58.5</v>
      </c>
      <c r="P329" s="17">
        <v>69.3</v>
      </c>
      <c r="Q329" s="17">
        <v>41.1</v>
      </c>
      <c r="R329" s="17">
        <f t="shared" si="16"/>
        <v>29.999999999999993</v>
      </c>
      <c r="S329" s="17">
        <v>34.5</v>
      </c>
      <c r="T329" s="17">
        <f t="shared" si="17"/>
        <v>24</v>
      </c>
    </row>
    <row r="330" spans="1:20" x14ac:dyDescent="0.35">
      <c r="A330" s="14" t="s">
        <v>62</v>
      </c>
      <c r="B330" s="15" t="s">
        <v>63</v>
      </c>
      <c r="C330" s="15" t="s">
        <v>93</v>
      </c>
      <c r="D330" s="15" t="s">
        <v>98</v>
      </c>
      <c r="E330" s="15" t="s">
        <v>91</v>
      </c>
      <c r="F330" s="15" t="s">
        <v>67</v>
      </c>
      <c r="G330" s="15" t="s">
        <v>74</v>
      </c>
      <c r="H330" s="15" t="s">
        <v>71</v>
      </c>
      <c r="I330" s="16">
        <v>23393</v>
      </c>
      <c r="J330" s="16">
        <v>20265</v>
      </c>
      <c r="K330" s="16">
        <v>22770</v>
      </c>
      <c r="L330" s="17">
        <v>161.6</v>
      </c>
      <c r="M330" s="17">
        <v>7.1</v>
      </c>
      <c r="N330" s="17">
        <f t="shared" si="15"/>
        <v>154.5</v>
      </c>
      <c r="O330" s="17">
        <v>127.7</v>
      </c>
      <c r="P330" s="17">
        <v>148.9</v>
      </c>
      <c r="Q330" s="17">
        <v>97.8</v>
      </c>
      <c r="R330" s="17">
        <f t="shared" si="16"/>
        <v>56.7</v>
      </c>
      <c r="S330" s="17">
        <v>81.8</v>
      </c>
      <c r="T330" s="17">
        <f t="shared" si="17"/>
        <v>45.900000000000006</v>
      </c>
    </row>
    <row r="331" spans="1:20" x14ac:dyDescent="0.35">
      <c r="A331" s="14" t="s">
        <v>62</v>
      </c>
      <c r="B331" s="15" t="s">
        <v>63</v>
      </c>
      <c r="C331" s="15" t="s">
        <v>93</v>
      </c>
      <c r="D331" s="15" t="s">
        <v>98</v>
      </c>
      <c r="E331" s="15" t="s">
        <v>91</v>
      </c>
      <c r="F331" s="15" t="s">
        <v>67</v>
      </c>
      <c r="G331" s="15" t="s">
        <v>75</v>
      </c>
      <c r="H331" s="15" t="s">
        <v>71</v>
      </c>
      <c r="I331" s="16">
        <v>18560</v>
      </c>
      <c r="J331" s="16">
        <v>16145</v>
      </c>
      <c r="K331" s="16">
        <v>18126</v>
      </c>
      <c r="L331" s="17">
        <v>125</v>
      </c>
      <c r="M331" s="17">
        <v>7.4</v>
      </c>
      <c r="N331" s="17">
        <f t="shared" si="15"/>
        <v>117.6</v>
      </c>
      <c r="O331" s="17">
        <v>97.1</v>
      </c>
      <c r="P331" s="17">
        <v>113.9</v>
      </c>
      <c r="Q331" s="17">
        <v>72</v>
      </c>
      <c r="R331" s="17">
        <f t="shared" si="16"/>
        <v>45.599999999999994</v>
      </c>
      <c r="S331" s="17">
        <v>60.8</v>
      </c>
      <c r="T331" s="17">
        <f t="shared" si="17"/>
        <v>36.299999999999997</v>
      </c>
    </row>
    <row r="332" spans="1:20" x14ac:dyDescent="0.35">
      <c r="A332" s="14" t="s">
        <v>62</v>
      </c>
      <c r="B332" s="15" t="s">
        <v>63</v>
      </c>
      <c r="C332" s="15" t="s">
        <v>93</v>
      </c>
      <c r="D332" s="15" t="s">
        <v>98</v>
      </c>
      <c r="E332" s="15" t="s">
        <v>91</v>
      </c>
      <c r="F332" s="15" t="s">
        <v>67</v>
      </c>
      <c r="G332" s="15" t="s">
        <v>76</v>
      </c>
      <c r="H332" s="15" t="s">
        <v>72</v>
      </c>
      <c r="I332" s="16">
        <v>21954</v>
      </c>
      <c r="J332" s="16">
        <v>18497</v>
      </c>
      <c r="K332" s="16">
        <v>21520</v>
      </c>
      <c r="L332" s="17">
        <v>251.1</v>
      </c>
      <c r="M332" s="17">
        <v>10.4</v>
      </c>
      <c r="N332" s="17">
        <f t="shared" si="15"/>
        <v>240.7</v>
      </c>
      <c r="O332" s="17">
        <v>193.2</v>
      </c>
      <c r="P332" s="17">
        <v>232.9</v>
      </c>
      <c r="Q332" s="17">
        <v>150.69999999999999</v>
      </c>
      <c r="R332" s="17">
        <f t="shared" si="16"/>
        <v>90</v>
      </c>
      <c r="S332" s="17">
        <v>122.1</v>
      </c>
      <c r="T332" s="17">
        <f t="shared" si="17"/>
        <v>71.099999999999994</v>
      </c>
    </row>
    <row r="333" spans="1:20" x14ac:dyDescent="0.35">
      <c r="A333" s="14" t="s">
        <v>62</v>
      </c>
      <c r="B333" s="15" t="s">
        <v>63</v>
      </c>
      <c r="C333" s="15" t="s">
        <v>93</v>
      </c>
      <c r="D333" s="15" t="s">
        <v>98</v>
      </c>
      <c r="E333" s="15" t="s">
        <v>91</v>
      </c>
      <c r="F333" s="15" t="s">
        <v>79</v>
      </c>
      <c r="G333" s="15" t="s">
        <v>95</v>
      </c>
      <c r="H333" s="15" t="s">
        <v>71</v>
      </c>
      <c r="I333" s="16">
        <v>19301</v>
      </c>
      <c r="J333" s="16">
        <v>16512</v>
      </c>
      <c r="K333" s="16">
        <v>18815</v>
      </c>
      <c r="L333" s="17">
        <v>77.900000000000006</v>
      </c>
      <c r="M333" s="17">
        <v>3.2</v>
      </c>
      <c r="N333" s="17">
        <f t="shared" si="15"/>
        <v>74.7</v>
      </c>
      <c r="O333" s="17">
        <v>61.4</v>
      </c>
      <c r="P333" s="17">
        <v>72.3</v>
      </c>
      <c r="Q333" s="17">
        <v>44</v>
      </c>
      <c r="R333" s="17">
        <f t="shared" si="16"/>
        <v>30.700000000000003</v>
      </c>
      <c r="S333" s="17">
        <v>37</v>
      </c>
      <c r="T333" s="17">
        <f t="shared" si="17"/>
        <v>24.4</v>
      </c>
    </row>
    <row r="334" spans="1:20" x14ac:dyDescent="0.35">
      <c r="A334" s="14" t="s">
        <v>62</v>
      </c>
      <c r="B334" s="15" t="s">
        <v>63</v>
      </c>
      <c r="C334" s="15" t="s">
        <v>93</v>
      </c>
      <c r="D334" s="15" t="s">
        <v>98</v>
      </c>
      <c r="E334" s="15" t="s">
        <v>91</v>
      </c>
      <c r="F334" s="15" t="s">
        <v>81</v>
      </c>
      <c r="G334" s="15" t="s">
        <v>82</v>
      </c>
      <c r="H334" s="15" t="s">
        <v>71</v>
      </c>
      <c r="I334" s="16">
        <v>6216</v>
      </c>
      <c r="J334" s="16">
        <v>5290</v>
      </c>
      <c r="K334" s="16">
        <v>6027</v>
      </c>
      <c r="L334" s="17">
        <v>57.2</v>
      </c>
      <c r="M334" s="17">
        <v>3.3</v>
      </c>
      <c r="N334" s="17">
        <f t="shared" si="15"/>
        <v>53.900000000000006</v>
      </c>
      <c r="O334" s="17">
        <v>43.9</v>
      </c>
      <c r="P334" s="17">
        <v>52</v>
      </c>
      <c r="Q334" s="17">
        <v>33.4</v>
      </c>
      <c r="R334" s="17">
        <f t="shared" si="16"/>
        <v>20.500000000000007</v>
      </c>
      <c r="S334" s="17">
        <v>27.6</v>
      </c>
      <c r="T334" s="17">
        <f t="shared" si="17"/>
        <v>16.299999999999997</v>
      </c>
    </row>
    <row r="335" spans="1:20" x14ac:dyDescent="0.35">
      <c r="A335" s="14" t="s">
        <v>62</v>
      </c>
      <c r="B335" s="15" t="s">
        <v>63</v>
      </c>
      <c r="C335" s="15" t="s">
        <v>93</v>
      </c>
      <c r="D335" s="15" t="s">
        <v>98</v>
      </c>
      <c r="E335" s="15" t="s">
        <v>91</v>
      </c>
      <c r="F335" s="15" t="s">
        <v>83</v>
      </c>
      <c r="G335" s="15" t="s">
        <v>84</v>
      </c>
      <c r="H335" s="15" t="s">
        <v>72</v>
      </c>
      <c r="I335" s="16">
        <v>5740</v>
      </c>
      <c r="J335" s="16">
        <v>4421</v>
      </c>
      <c r="K335" s="16">
        <v>5552</v>
      </c>
      <c r="L335" s="17">
        <v>163.5</v>
      </c>
      <c r="M335" s="17">
        <v>8</v>
      </c>
      <c r="N335" s="17">
        <f t="shared" si="15"/>
        <v>155.5</v>
      </c>
      <c r="O335" s="17">
        <v>113.6</v>
      </c>
      <c r="P335" s="17">
        <v>150.19999999999999</v>
      </c>
      <c r="Q335" s="17">
        <v>89.6</v>
      </c>
      <c r="R335" s="17">
        <f t="shared" si="16"/>
        <v>65.900000000000006</v>
      </c>
      <c r="S335" s="17">
        <v>66.900000000000006</v>
      </c>
      <c r="T335" s="17">
        <f t="shared" si="17"/>
        <v>46.699999999999989</v>
      </c>
    </row>
    <row r="336" spans="1:20" x14ac:dyDescent="0.35">
      <c r="A336" s="14" t="s">
        <v>62</v>
      </c>
      <c r="B336" s="15" t="s">
        <v>63</v>
      </c>
      <c r="C336" s="15" t="s">
        <v>93</v>
      </c>
      <c r="D336" s="15" t="s">
        <v>98</v>
      </c>
      <c r="E336" s="15" t="s">
        <v>92</v>
      </c>
      <c r="F336" s="15" t="s">
        <v>67</v>
      </c>
      <c r="G336" s="15" t="s">
        <v>68</v>
      </c>
      <c r="H336" s="15" t="s">
        <v>69</v>
      </c>
      <c r="I336" s="16">
        <v>110048</v>
      </c>
      <c r="J336" s="16">
        <v>83563</v>
      </c>
      <c r="K336" s="16">
        <v>106278</v>
      </c>
      <c r="L336" s="17">
        <v>484.3</v>
      </c>
      <c r="M336" s="17">
        <v>34.6</v>
      </c>
      <c r="N336" s="17">
        <f t="shared" si="15"/>
        <v>449.7</v>
      </c>
      <c r="O336" s="17">
        <v>325.3</v>
      </c>
      <c r="P336" s="17">
        <v>437.1</v>
      </c>
      <c r="Q336" s="17">
        <v>253.2</v>
      </c>
      <c r="R336" s="17">
        <f t="shared" si="16"/>
        <v>196.5</v>
      </c>
      <c r="S336" s="17">
        <v>187</v>
      </c>
      <c r="T336" s="17">
        <f t="shared" si="17"/>
        <v>138.30000000000001</v>
      </c>
    </row>
    <row r="337" spans="1:20" x14ac:dyDescent="0.35">
      <c r="A337" s="14" t="s">
        <v>62</v>
      </c>
      <c r="B337" s="15" t="s">
        <v>63</v>
      </c>
      <c r="C337" s="15" t="s">
        <v>93</v>
      </c>
      <c r="D337" s="15" t="s">
        <v>98</v>
      </c>
      <c r="E337" s="15" t="s">
        <v>92</v>
      </c>
      <c r="F337" s="15" t="s">
        <v>67</v>
      </c>
      <c r="G337" s="15" t="s">
        <v>68</v>
      </c>
      <c r="H337" s="15" t="s">
        <v>70</v>
      </c>
      <c r="I337" s="16">
        <v>89672</v>
      </c>
      <c r="J337" s="16">
        <v>66920</v>
      </c>
      <c r="K337" s="16">
        <v>87270</v>
      </c>
      <c r="L337" s="17">
        <v>438.8</v>
      </c>
      <c r="M337" s="17">
        <v>31.3</v>
      </c>
      <c r="N337" s="17">
        <f t="shared" si="15"/>
        <v>407.5</v>
      </c>
      <c r="O337" s="17">
        <v>289.39999999999998</v>
      </c>
      <c r="P337" s="17">
        <v>389.7</v>
      </c>
      <c r="Q337" s="17">
        <v>237.6</v>
      </c>
      <c r="R337" s="17">
        <f t="shared" si="16"/>
        <v>169.9</v>
      </c>
      <c r="S337" s="17">
        <v>169.9</v>
      </c>
      <c r="T337" s="17">
        <f t="shared" si="17"/>
        <v>119.49999999999997</v>
      </c>
    </row>
    <row r="338" spans="1:20" x14ac:dyDescent="0.35">
      <c r="A338" s="14" t="s">
        <v>62</v>
      </c>
      <c r="B338" s="15" t="s">
        <v>63</v>
      </c>
      <c r="C338" s="15" t="s">
        <v>93</v>
      </c>
      <c r="D338" s="15" t="s">
        <v>98</v>
      </c>
      <c r="E338" s="15" t="s">
        <v>92</v>
      </c>
      <c r="F338" s="15" t="s">
        <v>67</v>
      </c>
      <c r="G338" s="15" t="s">
        <v>68</v>
      </c>
      <c r="H338" s="15" t="s">
        <v>71</v>
      </c>
      <c r="I338" s="16">
        <v>103473</v>
      </c>
      <c r="J338" s="16">
        <v>79225</v>
      </c>
      <c r="K338" s="16">
        <v>100847</v>
      </c>
      <c r="L338" s="17">
        <v>673.3</v>
      </c>
      <c r="M338" s="17">
        <v>58.6</v>
      </c>
      <c r="N338" s="17">
        <f t="shared" si="15"/>
        <v>614.69999999999993</v>
      </c>
      <c r="O338" s="17">
        <v>446</v>
      </c>
      <c r="P338" s="17">
        <v>598.4</v>
      </c>
      <c r="Q338" s="17">
        <v>385.8</v>
      </c>
      <c r="R338" s="17">
        <f t="shared" si="16"/>
        <v>228.89999999999992</v>
      </c>
      <c r="S338" s="17">
        <v>285.3</v>
      </c>
      <c r="T338" s="17">
        <f t="shared" si="17"/>
        <v>160.69999999999999</v>
      </c>
    </row>
    <row r="339" spans="1:20" x14ac:dyDescent="0.35">
      <c r="A339" s="14" t="s">
        <v>62</v>
      </c>
      <c r="B339" s="15" t="s">
        <v>63</v>
      </c>
      <c r="C339" s="15" t="s">
        <v>93</v>
      </c>
      <c r="D339" s="15" t="s">
        <v>98</v>
      </c>
      <c r="E339" s="15" t="s">
        <v>92</v>
      </c>
      <c r="F339" s="15" t="s">
        <v>67</v>
      </c>
      <c r="G339" s="15" t="s">
        <v>68</v>
      </c>
      <c r="H339" s="15" t="s">
        <v>72</v>
      </c>
      <c r="I339" s="16">
        <v>27539</v>
      </c>
      <c r="J339" s="16">
        <v>20666</v>
      </c>
      <c r="K339" s="16">
        <v>26759</v>
      </c>
      <c r="L339" s="17">
        <v>238.4</v>
      </c>
      <c r="M339" s="17">
        <v>20.2</v>
      </c>
      <c r="N339" s="17">
        <f t="shared" si="15"/>
        <v>218.20000000000002</v>
      </c>
      <c r="O339" s="17">
        <v>155.4</v>
      </c>
      <c r="P339" s="17">
        <v>211.5</v>
      </c>
      <c r="Q339" s="17">
        <v>137.19999999999999</v>
      </c>
      <c r="R339" s="17">
        <f t="shared" si="16"/>
        <v>81.000000000000028</v>
      </c>
      <c r="S339" s="17">
        <v>98.4</v>
      </c>
      <c r="T339" s="17">
        <f t="shared" si="17"/>
        <v>57</v>
      </c>
    </row>
    <row r="340" spans="1:20" x14ac:dyDescent="0.35">
      <c r="A340" s="14" t="s">
        <v>62</v>
      </c>
      <c r="B340" s="15" t="s">
        <v>63</v>
      </c>
      <c r="C340" s="15" t="s">
        <v>93</v>
      </c>
      <c r="D340" s="15" t="s">
        <v>98</v>
      </c>
      <c r="E340" s="15" t="s">
        <v>92</v>
      </c>
      <c r="F340" s="15" t="s">
        <v>67</v>
      </c>
      <c r="G340" s="15" t="s">
        <v>73</v>
      </c>
      <c r="H340" s="15" t="s">
        <v>71</v>
      </c>
      <c r="I340" s="16">
        <v>30129</v>
      </c>
      <c r="J340" s="16">
        <v>21143</v>
      </c>
      <c r="K340" s="16">
        <v>29523</v>
      </c>
      <c r="L340" s="17">
        <v>199.2</v>
      </c>
      <c r="M340" s="17">
        <v>17.100000000000001</v>
      </c>
      <c r="N340" s="17">
        <f t="shared" si="15"/>
        <v>182.1</v>
      </c>
      <c r="O340" s="17">
        <v>121.4</v>
      </c>
      <c r="P340" s="17">
        <v>174.1</v>
      </c>
      <c r="Q340" s="17">
        <v>111.8</v>
      </c>
      <c r="R340" s="17">
        <f t="shared" si="16"/>
        <v>70.3</v>
      </c>
      <c r="S340" s="17">
        <v>75.7</v>
      </c>
      <c r="T340" s="17">
        <f t="shared" si="17"/>
        <v>45.7</v>
      </c>
    </row>
    <row r="341" spans="1:20" x14ac:dyDescent="0.35">
      <c r="A341" s="14" t="s">
        <v>62</v>
      </c>
      <c r="B341" s="15" t="s">
        <v>63</v>
      </c>
      <c r="C341" s="15" t="s">
        <v>93</v>
      </c>
      <c r="D341" s="15" t="s">
        <v>98</v>
      </c>
      <c r="E341" s="15" t="s">
        <v>92</v>
      </c>
      <c r="F341" s="15" t="s">
        <v>67</v>
      </c>
      <c r="G341" s="15" t="s">
        <v>73</v>
      </c>
      <c r="H341" s="15" t="s">
        <v>72</v>
      </c>
      <c r="I341" s="16">
        <v>9155</v>
      </c>
      <c r="J341" s="16">
        <v>6329</v>
      </c>
      <c r="K341" s="16">
        <v>8855</v>
      </c>
      <c r="L341" s="17">
        <v>77.900000000000006</v>
      </c>
      <c r="M341" s="17">
        <v>5.7</v>
      </c>
      <c r="N341" s="17">
        <f t="shared" si="15"/>
        <v>72.2</v>
      </c>
      <c r="O341" s="17">
        <v>47.2</v>
      </c>
      <c r="P341" s="17">
        <v>69.8</v>
      </c>
      <c r="Q341" s="17">
        <v>46.9</v>
      </c>
      <c r="R341" s="17">
        <f t="shared" si="16"/>
        <v>25.300000000000004</v>
      </c>
      <c r="S341" s="17">
        <v>31.2</v>
      </c>
      <c r="T341" s="17">
        <f t="shared" si="17"/>
        <v>16.000000000000004</v>
      </c>
    </row>
    <row r="342" spans="1:20" x14ac:dyDescent="0.35">
      <c r="A342" s="14" t="s">
        <v>62</v>
      </c>
      <c r="B342" s="15" t="s">
        <v>63</v>
      </c>
      <c r="C342" s="15" t="s">
        <v>93</v>
      </c>
      <c r="D342" s="15" t="s">
        <v>98</v>
      </c>
      <c r="E342" s="15" t="s">
        <v>92</v>
      </c>
      <c r="F342" s="15" t="s">
        <v>67</v>
      </c>
      <c r="G342" s="15" t="s">
        <v>74</v>
      </c>
      <c r="H342" s="15" t="s">
        <v>70</v>
      </c>
      <c r="I342" s="16">
        <v>41125</v>
      </c>
      <c r="J342" s="16">
        <v>30224</v>
      </c>
      <c r="K342" s="16">
        <v>39922</v>
      </c>
      <c r="L342" s="17">
        <v>197</v>
      </c>
      <c r="M342" s="17">
        <v>15</v>
      </c>
      <c r="N342" s="17">
        <f t="shared" si="15"/>
        <v>182</v>
      </c>
      <c r="O342" s="17">
        <v>127.4</v>
      </c>
      <c r="P342" s="17">
        <v>177</v>
      </c>
      <c r="Q342" s="17">
        <v>103.7</v>
      </c>
      <c r="R342" s="17">
        <f t="shared" si="16"/>
        <v>78.3</v>
      </c>
      <c r="S342" s="17">
        <v>74.2</v>
      </c>
      <c r="T342" s="17">
        <f t="shared" si="17"/>
        <v>53.2</v>
      </c>
    </row>
    <row r="343" spans="1:20" x14ac:dyDescent="0.35">
      <c r="A343" s="14" t="s">
        <v>62</v>
      </c>
      <c r="B343" s="15" t="s">
        <v>63</v>
      </c>
      <c r="C343" s="15" t="s">
        <v>93</v>
      </c>
      <c r="D343" s="15" t="s">
        <v>98</v>
      </c>
      <c r="E343" s="15" t="s">
        <v>92</v>
      </c>
      <c r="F343" s="15" t="s">
        <v>67</v>
      </c>
      <c r="G343" s="15" t="s">
        <v>74</v>
      </c>
      <c r="H343" s="15" t="s">
        <v>71</v>
      </c>
      <c r="I343" s="16">
        <v>48219</v>
      </c>
      <c r="J343" s="16">
        <v>36610</v>
      </c>
      <c r="K343" s="16">
        <v>46649</v>
      </c>
      <c r="L343" s="17">
        <v>307.5</v>
      </c>
      <c r="M343" s="17">
        <v>23.6</v>
      </c>
      <c r="N343" s="17">
        <f t="shared" si="15"/>
        <v>283.89999999999998</v>
      </c>
      <c r="O343" s="17">
        <v>205.1</v>
      </c>
      <c r="P343" s="17">
        <v>275.2</v>
      </c>
      <c r="Q343" s="17">
        <v>178.8</v>
      </c>
      <c r="R343" s="17">
        <f t="shared" si="16"/>
        <v>105.09999999999997</v>
      </c>
      <c r="S343" s="17">
        <v>131.9</v>
      </c>
      <c r="T343" s="17">
        <f t="shared" si="17"/>
        <v>73.199999999999989</v>
      </c>
    </row>
    <row r="344" spans="1:20" x14ac:dyDescent="0.35">
      <c r="A344" s="14" t="s">
        <v>62</v>
      </c>
      <c r="B344" s="15" t="s">
        <v>63</v>
      </c>
      <c r="C344" s="15" t="s">
        <v>93</v>
      </c>
      <c r="D344" s="15" t="s">
        <v>98</v>
      </c>
      <c r="E344" s="15" t="s">
        <v>92</v>
      </c>
      <c r="F344" s="15" t="s">
        <v>67</v>
      </c>
      <c r="G344" s="15" t="s">
        <v>75</v>
      </c>
      <c r="H344" s="15" t="s">
        <v>71</v>
      </c>
      <c r="I344" s="16">
        <v>30917</v>
      </c>
      <c r="J344" s="16">
        <v>23297</v>
      </c>
      <c r="K344" s="16">
        <v>30291</v>
      </c>
      <c r="L344" s="17">
        <v>189.1</v>
      </c>
      <c r="M344" s="17">
        <v>16.600000000000001</v>
      </c>
      <c r="N344" s="17">
        <f t="shared" si="15"/>
        <v>172.5</v>
      </c>
      <c r="O344" s="17">
        <v>124.6</v>
      </c>
      <c r="P344" s="17">
        <v>167.7</v>
      </c>
      <c r="Q344" s="17">
        <v>109.5</v>
      </c>
      <c r="R344" s="17">
        <f t="shared" si="16"/>
        <v>63</v>
      </c>
      <c r="S344" s="17">
        <v>79.8</v>
      </c>
      <c r="T344" s="17">
        <f t="shared" si="17"/>
        <v>44.8</v>
      </c>
    </row>
    <row r="345" spans="1:20" x14ac:dyDescent="0.35">
      <c r="A345" s="14" t="s">
        <v>62</v>
      </c>
      <c r="B345" s="15" t="s">
        <v>63</v>
      </c>
      <c r="C345" s="15" t="s">
        <v>93</v>
      </c>
      <c r="D345" s="15" t="s">
        <v>98</v>
      </c>
      <c r="E345" s="15" t="s">
        <v>92</v>
      </c>
      <c r="F345" s="15" t="s">
        <v>67</v>
      </c>
      <c r="G345" s="15" t="s">
        <v>76</v>
      </c>
      <c r="H345" s="15" t="s">
        <v>72</v>
      </c>
      <c r="I345" s="16">
        <v>6636</v>
      </c>
      <c r="J345" s="16">
        <v>4880</v>
      </c>
      <c r="K345" s="16">
        <v>6426</v>
      </c>
      <c r="L345" s="17">
        <v>70.599999999999994</v>
      </c>
      <c r="M345" s="17">
        <v>5.2</v>
      </c>
      <c r="N345" s="17">
        <f t="shared" si="15"/>
        <v>65.399999999999991</v>
      </c>
      <c r="O345" s="17">
        <v>45.6</v>
      </c>
      <c r="P345" s="17">
        <v>63.3</v>
      </c>
      <c r="Q345" s="17">
        <v>41.1</v>
      </c>
      <c r="R345" s="17">
        <f t="shared" si="16"/>
        <v>24.29999999999999</v>
      </c>
      <c r="S345" s="17">
        <v>29</v>
      </c>
      <c r="T345" s="17">
        <f t="shared" si="17"/>
        <v>16.600000000000001</v>
      </c>
    </row>
    <row r="346" spans="1:20" x14ac:dyDescent="0.35">
      <c r="A346" s="14" t="s">
        <v>62</v>
      </c>
      <c r="B346" s="15" t="s">
        <v>63</v>
      </c>
      <c r="C346" s="15" t="s">
        <v>93</v>
      </c>
      <c r="D346" s="15" t="s">
        <v>98</v>
      </c>
      <c r="E346" s="15" t="s">
        <v>92</v>
      </c>
      <c r="F346" s="15" t="s">
        <v>79</v>
      </c>
      <c r="G346" s="15" t="s">
        <v>95</v>
      </c>
      <c r="H346" s="15" t="s">
        <v>71</v>
      </c>
      <c r="I346" s="16">
        <v>30458</v>
      </c>
      <c r="J346" s="16">
        <v>22762</v>
      </c>
      <c r="K346" s="16">
        <v>29532</v>
      </c>
      <c r="L346" s="17">
        <v>118.3</v>
      </c>
      <c r="M346" s="17">
        <v>8.4</v>
      </c>
      <c r="N346" s="17">
        <f t="shared" si="15"/>
        <v>109.89999999999999</v>
      </c>
      <c r="O346" s="17">
        <v>78.599999999999994</v>
      </c>
      <c r="P346" s="17">
        <v>105.5</v>
      </c>
      <c r="Q346" s="17">
        <v>67.5</v>
      </c>
      <c r="R346" s="17">
        <f t="shared" si="16"/>
        <v>42.399999999999991</v>
      </c>
      <c r="S346" s="17">
        <v>49</v>
      </c>
      <c r="T346" s="17">
        <f t="shared" si="17"/>
        <v>29.599999999999994</v>
      </c>
    </row>
    <row r="347" spans="1:20" x14ac:dyDescent="0.35">
      <c r="A347" s="14" t="s">
        <v>62</v>
      </c>
      <c r="B347" s="15" t="s">
        <v>63</v>
      </c>
      <c r="C347" s="15" t="s">
        <v>93</v>
      </c>
      <c r="D347" s="15" t="s">
        <v>98</v>
      </c>
      <c r="E347" s="15" t="s">
        <v>92</v>
      </c>
      <c r="F347" s="15" t="s">
        <v>81</v>
      </c>
      <c r="G347" s="15" t="s">
        <v>82</v>
      </c>
      <c r="H347" s="15" t="s">
        <v>71</v>
      </c>
      <c r="I347" s="16">
        <v>10372</v>
      </c>
      <c r="J347" s="16">
        <v>7551</v>
      </c>
      <c r="K347" s="16">
        <v>10141</v>
      </c>
      <c r="L347" s="17">
        <v>85.9</v>
      </c>
      <c r="M347" s="17">
        <v>6.4</v>
      </c>
      <c r="N347" s="17">
        <f t="shared" si="15"/>
        <v>79.5</v>
      </c>
      <c r="O347" s="17">
        <v>54.9</v>
      </c>
      <c r="P347" s="17">
        <v>76.2</v>
      </c>
      <c r="Q347" s="17">
        <v>48.7</v>
      </c>
      <c r="R347" s="17">
        <f t="shared" si="16"/>
        <v>30.799999999999997</v>
      </c>
      <c r="S347" s="17">
        <v>34.1</v>
      </c>
      <c r="T347" s="17">
        <f t="shared" si="17"/>
        <v>20.799999999999997</v>
      </c>
    </row>
    <row r="348" spans="1:20" x14ac:dyDescent="0.35">
      <c r="A348" s="14" t="s">
        <v>62</v>
      </c>
      <c r="B348" s="15" t="s">
        <v>63</v>
      </c>
      <c r="C348" s="15" t="s">
        <v>93</v>
      </c>
      <c r="D348" s="15" t="s">
        <v>98</v>
      </c>
      <c r="E348" s="15" t="s">
        <v>92</v>
      </c>
      <c r="F348" s="15" t="s">
        <v>83</v>
      </c>
      <c r="G348" s="15" t="s">
        <v>84</v>
      </c>
      <c r="H348" s="15" t="s">
        <v>72</v>
      </c>
      <c r="I348" s="16">
        <v>4952</v>
      </c>
      <c r="J348" s="16">
        <v>3324</v>
      </c>
      <c r="K348" s="16">
        <v>4810</v>
      </c>
      <c r="L348" s="17">
        <v>130.6</v>
      </c>
      <c r="M348" s="17">
        <v>10.1</v>
      </c>
      <c r="N348" s="17">
        <f t="shared" si="15"/>
        <v>120.5</v>
      </c>
      <c r="O348" s="17">
        <v>77.099999999999994</v>
      </c>
      <c r="P348" s="17">
        <v>116.7</v>
      </c>
      <c r="Q348" s="17">
        <v>68.7</v>
      </c>
      <c r="R348" s="17">
        <f t="shared" si="16"/>
        <v>51.8</v>
      </c>
      <c r="S348" s="17">
        <v>45</v>
      </c>
      <c r="T348" s="17">
        <f t="shared" si="17"/>
        <v>32.099999999999994</v>
      </c>
    </row>
    <row r="349" spans="1:20" x14ac:dyDescent="0.35">
      <c r="A349" s="14" t="s">
        <v>62</v>
      </c>
      <c r="B349" s="15" t="s">
        <v>63</v>
      </c>
      <c r="C349" s="15" t="s">
        <v>64</v>
      </c>
      <c r="D349" s="15" t="s">
        <v>99</v>
      </c>
      <c r="E349" s="15" t="s">
        <v>66</v>
      </c>
      <c r="F349" s="15" t="s">
        <v>67</v>
      </c>
      <c r="G349" s="15" t="s">
        <v>68</v>
      </c>
      <c r="H349" s="15" t="s">
        <v>69</v>
      </c>
      <c r="I349" s="16">
        <v>46436</v>
      </c>
      <c r="J349" s="16">
        <v>42340</v>
      </c>
      <c r="K349" s="16">
        <v>45561</v>
      </c>
      <c r="L349" s="17">
        <v>234.2</v>
      </c>
      <c r="M349" s="17">
        <v>34.799999999999997</v>
      </c>
      <c r="N349" s="17">
        <f t="shared" si="15"/>
        <v>199.39999999999998</v>
      </c>
      <c r="O349" s="17">
        <v>172.8</v>
      </c>
      <c r="P349" s="17">
        <v>195.5</v>
      </c>
      <c r="Q349" s="17">
        <v>109.2</v>
      </c>
      <c r="R349" s="17">
        <f t="shared" si="16"/>
        <v>90.199999999999974</v>
      </c>
      <c r="S349" s="17">
        <v>96.4</v>
      </c>
      <c r="T349" s="17">
        <f t="shared" si="17"/>
        <v>76.400000000000006</v>
      </c>
    </row>
    <row r="350" spans="1:20" x14ac:dyDescent="0.35">
      <c r="A350" s="14" t="s">
        <v>62</v>
      </c>
      <c r="B350" s="15" t="s">
        <v>63</v>
      </c>
      <c r="C350" s="15" t="s">
        <v>64</v>
      </c>
      <c r="D350" s="15" t="s">
        <v>99</v>
      </c>
      <c r="E350" s="15" t="s">
        <v>66</v>
      </c>
      <c r="F350" s="15" t="s">
        <v>67</v>
      </c>
      <c r="G350" s="15" t="s">
        <v>68</v>
      </c>
      <c r="H350" s="15" t="s">
        <v>70</v>
      </c>
      <c r="I350" s="16">
        <v>108694</v>
      </c>
      <c r="J350" s="16">
        <v>97871</v>
      </c>
      <c r="K350" s="16">
        <v>106778</v>
      </c>
      <c r="L350" s="17">
        <v>650.1</v>
      </c>
      <c r="M350" s="17">
        <v>88.3</v>
      </c>
      <c r="N350" s="17">
        <f t="shared" si="15"/>
        <v>561.80000000000007</v>
      </c>
      <c r="O350" s="17">
        <v>479</v>
      </c>
      <c r="P350" s="17">
        <v>550.1</v>
      </c>
      <c r="Q350" s="17">
        <v>314.2</v>
      </c>
      <c r="R350" s="17">
        <f t="shared" si="16"/>
        <v>247.60000000000008</v>
      </c>
      <c r="S350" s="17">
        <v>272.39999999999998</v>
      </c>
      <c r="T350" s="17">
        <f t="shared" si="17"/>
        <v>206.60000000000002</v>
      </c>
    </row>
    <row r="351" spans="1:20" x14ac:dyDescent="0.35">
      <c r="A351" s="14" t="s">
        <v>62</v>
      </c>
      <c r="B351" s="15" t="s">
        <v>63</v>
      </c>
      <c r="C351" s="15" t="s">
        <v>64</v>
      </c>
      <c r="D351" s="15" t="s">
        <v>99</v>
      </c>
      <c r="E351" s="15" t="s">
        <v>66</v>
      </c>
      <c r="F351" s="15" t="s">
        <v>67</v>
      </c>
      <c r="G351" s="15" t="s">
        <v>68</v>
      </c>
      <c r="H351" s="15" t="s">
        <v>71</v>
      </c>
      <c r="I351" s="16">
        <v>231507</v>
      </c>
      <c r="J351" s="16">
        <v>211462</v>
      </c>
      <c r="K351" s="16">
        <v>227585</v>
      </c>
      <c r="L351" s="17">
        <v>1763</v>
      </c>
      <c r="M351" s="17">
        <v>242.2</v>
      </c>
      <c r="N351" s="17">
        <f t="shared" si="15"/>
        <v>1520.8</v>
      </c>
      <c r="O351" s="17">
        <v>1302.2</v>
      </c>
      <c r="P351" s="17">
        <v>1473.9</v>
      </c>
      <c r="Q351" s="17">
        <v>922.9</v>
      </c>
      <c r="R351" s="17">
        <f t="shared" si="16"/>
        <v>597.9</v>
      </c>
      <c r="S351" s="17">
        <v>803.1</v>
      </c>
      <c r="T351" s="17">
        <f t="shared" si="17"/>
        <v>499.1</v>
      </c>
    </row>
    <row r="352" spans="1:20" x14ac:dyDescent="0.35">
      <c r="A352" s="14" t="s">
        <v>62</v>
      </c>
      <c r="B352" s="15" t="s">
        <v>63</v>
      </c>
      <c r="C352" s="15" t="s">
        <v>64</v>
      </c>
      <c r="D352" s="15" t="s">
        <v>99</v>
      </c>
      <c r="E352" s="15" t="s">
        <v>66</v>
      </c>
      <c r="F352" s="15" t="s">
        <v>67</v>
      </c>
      <c r="G352" s="15" t="s">
        <v>68</v>
      </c>
      <c r="H352" s="15" t="s">
        <v>72</v>
      </c>
      <c r="I352" s="16">
        <v>91279</v>
      </c>
      <c r="J352" s="16">
        <v>80906</v>
      </c>
      <c r="K352" s="16">
        <v>89043</v>
      </c>
      <c r="L352" s="17">
        <v>948.6</v>
      </c>
      <c r="M352" s="17">
        <v>130</v>
      </c>
      <c r="N352" s="17">
        <f t="shared" si="15"/>
        <v>818.6</v>
      </c>
      <c r="O352" s="17">
        <v>688.9</v>
      </c>
      <c r="P352" s="17">
        <v>794.1</v>
      </c>
      <c r="Q352" s="17">
        <v>515.29999999999995</v>
      </c>
      <c r="R352" s="17">
        <f t="shared" si="16"/>
        <v>303.30000000000007</v>
      </c>
      <c r="S352" s="17">
        <v>437.2</v>
      </c>
      <c r="T352" s="17">
        <f t="shared" si="17"/>
        <v>251.7</v>
      </c>
    </row>
    <row r="353" spans="1:20" x14ac:dyDescent="0.35">
      <c r="A353" s="14" t="s">
        <v>62</v>
      </c>
      <c r="B353" s="15" t="s">
        <v>63</v>
      </c>
      <c r="C353" s="15" t="s">
        <v>64</v>
      </c>
      <c r="D353" s="15" t="s">
        <v>99</v>
      </c>
      <c r="E353" s="15" t="s">
        <v>66</v>
      </c>
      <c r="F353" s="15" t="s">
        <v>67</v>
      </c>
      <c r="G353" s="15" t="s">
        <v>73</v>
      </c>
      <c r="H353" s="15" t="s">
        <v>71</v>
      </c>
      <c r="I353" s="16">
        <v>58234</v>
      </c>
      <c r="J353" s="16">
        <v>48616</v>
      </c>
      <c r="K353" s="16">
        <v>56829</v>
      </c>
      <c r="L353" s="17">
        <v>423.5</v>
      </c>
      <c r="M353" s="17">
        <v>55.1</v>
      </c>
      <c r="N353" s="17">
        <f t="shared" si="15"/>
        <v>368.4</v>
      </c>
      <c r="O353" s="17">
        <v>287.60000000000002</v>
      </c>
      <c r="P353" s="17">
        <v>357.5</v>
      </c>
      <c r="Q353" s="17">
        <v>233.6</v>
      </c>
      <c r="R353" s="17">
        <f t="shared" si="16"/>
        <v>134.79999999999998</v>
      </c>
      <c r="S353" s="17">
        <v>185.9</v>
      </c>
      <c r="T353" s="17">
        <f t="shared" si="17"/>
        <v>101.70000000000002</v>
      </c>
    </row>
    <row r="354" spans="1:20" x14ac:dyDescent="0.35">
      <c r="A354" s="14" t="s">
        <v>62</v>
      </c>
      <c r="B354" s="15" t="s">
        <v>63</v>
      </c>
      <c r="C354" s="15" t="s">
        <v>64</v>
      </c>
      <c r="D354" s="15" t="s">
        <v>99</v>
      </c>
      <c r="E354" s="15" t="s">
        <v>66</v>
      </c>
      <c r="F354" s="15" t="s">
        <v>67</v>
      </c>
      <c r="G354" s="15" t="s">
        <v>73</v>
      </c>
      <c r="H354" s="15" t="s">
        <v>72</v>
      </c>
      <c r="I354" s="16">
        <v>26135</v>
      </c>
      <c r="J354" s="16">
        <v>21547</v>
      </c>
      <c r="K354" s="16">
        <v>25757</v>
      </c>
      <c r="L354" s="17">
        <v>263.8</v>
      </c>
      <c r="M354" s="17">
        <v>37.700000000000003</v>
      </c>
      <c r="N354" s="17">
        <f t="shared" si="15"/>
        <v>226.10000000000002</v>
      </c>
      <c r="O354" s="17">
        <v>176</v>
      </c>
      <c r="P354" s="17">
        <v>220.1</v>
      </c>
      <c r="Q354" s="17">
        <v>144.6</v>
      </c>
      <c r="R354" s="17">
        <f t="shared" si="16"/>
        <v>81.500000000000028</v>
      </c>
      <c r="S354" s="17">
        <v>113.7</v>
      </c>
      <c r="T354" s="17">
        <f t="shared" si="17"/>
        <v>62.3</v>
      </c>
    </row>
    <row r="355" spans="1:20" x14ac:dyDescent="0.35">
      <c r="A355" s="14" t="s">
        <v>62</v>
      </c>
      <c r="B355" s="15" t="s">
        <v>63</v>
      </c>
      <c r="C355" s="15" t="s">
        <v>64</v>
      </c>
      <c r="D355" s="15" t="s">
        <v>99</v>
      </c>
      <c r="E355" s="15" t="s">
        <v>66</v>
      </c>
      <c r="F355" s="15" t="s">
        <v>67</v>
      </c>
      <c r="G355" s="15" t="s">
        <v>74</v>
      </c>
      <c r="H355" s="15" t="s">
        <v>70</v>
      </c>
      <c r="I355" s="16">
        <v>46802</v>
      </c>
      <c r="J355" s="16">
        <v>41664</v>
      </c>
      <c r="K355" s="16">
        <v>45771</v>
      </c>
      <c r="L355" s="17">
        <v>270.2</v>
      </c>
      <c r="M355" s="17">
        <v>39.4</v>
      </c>
      <c r="N355" s="17">
        <f t="shared" si="15"/>
        <v>230.79999999999998</v>
      </c>
      <c r="O355" s="17">
        <v>194</v>
      </c>
      <c r="P355" s="17">
        <v>226.3</v>
      </c>
      <c r="Q355" s="17">
        <v>134.4</v>
      </c>
      <c r="R355" s="17">
        <f t="shared" si="16"/>
        <v>96.399999999999977</v>
      </c>
      <c r="S355" s="17">
        <v>113.8</v>
      </c>
      <c r="T355" s="17">
        <f t="shared" si="17"/>
        <v>80.2</v>
      </c>
    </row>
    <row r="356" spans="1:20" x14ac:dyDescent="0.35">
      <c r="A356" s="14" t="s">
        <v>62</v>
      </c>
      <c r="B356" s="15" t="s">
        <v>63</v>
      </c>
      <c r="C356" s="15" t="s">
        <v>64</v>
      </c>
      <c r="D356" s="15" t="s">
        <v>99</v>
      </c>
      <c r="E356" s="15" t="s">
        <v>66</v>
      </c>
      <c r="F356" s="15" t="s">
        <v>67</v>
      </c>
      <c r="G356" s="15" t="s">
        <v>74</v>
      </c>
      <c r="H356" s="15" t="s">
        <v>71</v>
      </c>
      <c r="I356" s="16">
        <v>95131</v>
      </c>
      <c r="J356" s="16">
        <v>86529</v>
      </c>
      <c r="K356" s="16">
        <v>93709</v>
      </c>
      <c r="L356" s="17">
        <v>714.3</v>
      </c>
      <c r="M356" s="17">
        <v>105.5</v>
      </c>
      <c r="N356" s="17">
        <f t="shared" si="15"/>
        <v>608.79999999999995</v>
      </c>
      <c r="O356" s="17">
        <v>525.29999999999995</v>
      </c>
      <c r="P356" s="17">
        <v>594.6</v>
      </c>
      <c r="Q356" s="17">
        <v>369.8</v>
      </c>
      <c r="R356" s="17">
        <f t="shared" si="16"/>
        <v>238.99999999999994</v>
      </c>
      <c r="S356" s="17">
        <v>324.3</v>
      </c>
      <c r="T356" s="17">
        <f t="shared" si="17"/>
        <v>200.99999999999994</v>
      </c>
    </row>
    <row r="357" spans="1:20" x14ac:dyDescent="0.35">
      <c r="A357" s="14" t="s">
        <v>62</v>
      </c>
      <c r="B357" s="15" t="s">
        <v>63</v>
      </c>
      <c r="C357" s="15" t="s">
        <v>64</v>
      </c>
      <c r="D357" s="15" t="s">
        <v>99</v>
      </c>
      <c r="E357" s="15" t="s">
        <v>66</v>
      </c>
      <c r="F357" s="15" t="s">
        <v>67</v>
      </c>
      <c r="G357" s="15" t="s">
        <v>75</v>
      </c>
      <c r="H357" s="15" t="s">
        <v>71</v>
      </c>
      <c r="I357" s="16">
        <v>74893</v>
      </c>
      <c r="J357" s="16">
        <v>67439</v>
      </c>
      <c r="K357" s="16">
        <v>72921</v>
      </c>
      <c r="L357" s="17">
        <v>538.79999999999995</v>
      </c>
      <c r="M357" s="17">
        <v>80.7</v>
      </c>
      <c r="N357" s="17">
        <f t="shared" si="15"/>
        <v>458.09999999999997</v>
      </c>
      <c r="O357" s="17">
        <v>387.8</v>
      </c>
      <c r="P357" s="17">
        <v>442.7</v>
      </c>
      <c r="Q357" s="17">
        <v>283.10000000000002</v>
      </c>
      <c r="R357" s="17">
        <f t="shared" si="16"/>
        <v>174.99999999999994</v>
      </c>
      <c r="S357" s="17">
        <v>241.5</v>
      </c>
      <c r="T357" s="17">
        <f t="shared" si="17"/>
        <v>146.30000000000001</v>
      </c>
    </row>
    <row r="358" spans="1:20" x14ac:dyDescent="0.35">
      <c r="A358" s="14" t="s">
        <v>62</v>
      </c>
      <c r="B358" s="15" t="s">
        <v>63</v>
      </c>
      <c r="C358" s="15" t="s">
        <v>64</v>
      </c>
      <c r="D358" s="15" t="s">
        <v>99</v>
      </c>
      <c r="E358" s="15" t="s">
        <v>66</v>
      </c>
      <c r="F358" s="15" t="s">
        <v>67</v>
      </c>
      <c r="G358" s="15" t="s">
        <v>76</v>
      </c>
      <c r="H358" s="15" t="s">
        <v>72</v>
      </c>
      <c r="I358" s="16">
        <v>22463</v>
      </c>
      <c r="J358" s="16">
        <v>19979</v>
      </c>
      <c r="K358" s="16">
        <v>21914</v>
      </c>
      <c r="L358" s="17">
        <v>280.2</v>
      </c>
      <c r="M358" s="17">
        <v>41.6</v>
      </c>
      <c r="N358" s="17">
        <f t="shared" si="15"/>
        <v>238.6</v>
      </c>
      <c r="O358" s="17">
        <v>201.6</v>
      </c>
      <c r="P358" s="17">
        <v>232.8</v>
      </c>
      <c r="Q358" s="17">
        <v>149.4</v>
      </c>
      <c r="R358" s="17">
        <f t="shared" si="16"/>
        <v>89.199999999999989</v>
      </c>
      <c r="S358" s="17">
        <v>127.8</v>
      </c>
      <c r="T358" s="17">
        <f t="shared" si="17"/>
        <v>73.8</v>
      </c>
    </row>
    <row r="359" spans="1:20" x14ac:dyDescent="0.35">
      <c r="A359" s="14" t="s">
        <v>62</v>
      </c>
      <c r="B359" s="15" t="s">
        <v>63</v>
      </c>
      <c r="C359" s="15" t="s">
        <v>64</v>
      </c>
      <c r="D359" s="15" t="s">
        <v>99</v>
      </c>
      <c r="E359" s="15" t="s">
        <v>66</v>
      </c>
      <c r="F359" s="15" t="s">
        <v>79</v>
      </c>
      <c r="G359" s="15" t="s">
        <v>80</v>
      </c>
      <c r="H359" s="15" t="s">
        <v>71</v>
      </c>
      <c r="I359" s="16">
        <v>66342</v>
      </c>
      <c r="J359" s="16">
        <v>58995</v>
      </c>
      <c r="K359" s="16">
        <v>64998</v>
      </c>
      <c r="L359" s="17">
        <v>315.3</v>
      </c>
      <c r="M359" s="17">
        <v>43.2</v>
      </c>
      <c r="N359" s="17">
        <f t="shared" si="15"/>
        <v>272.10000000000002</v>
      </c>
      <c r="O359" s="17">
        <v>227.6</v>
      </c>
      <c r="P359" s="17">
        <v>266.7</v>
      </c>
      <c r="Q359" s="17">
        <v>166.3</v>
      </c>
      <c r="R359" s="17">
        <f t="shared" si="16"/>
        <v>105.80000000000001</v>
      </c>
      <c r="S359" s="17">
        <v>141.80000000000001</v>
      </c>
      <c r="T359" s="17">
        <f t="shared" si="17"/>
        <v>85.799999999999983</v>
      </c>
    </row>
    <row r="360" spans="1:20" x14ac:dyDescent="0.35">
      <c r="A360" s="14" t="s">
        <v>62</v>
      </c>
      <c r="B360" s="15" t="s">
        <v>63</v>
      </c>
      <c r="C360" s="15" t="s">
        <v>64</v>
      </c>
      <c r="D360" s="15" t="s">
        <v>99</v>
      </c>
      <c r="E360" s="15" t="s">
        <v>66</v>
      </c>
      <c r="F360" s="15" t="s">
        <v>81</v>
      </c>
      <c r="G360" s="15" t="s">
        <v>82</v>
      </c>
      <c r="H360" s="15" t="s">
        <v>71</v>
      </c>
      <c r="I360" s="16">
        <v>23189</v>
      </c>
      <c r="J360" s="16">
        <v>20299</v>
      </c>
      <c r="K360" s="16">
        <v>22658</v>
      </c>
      <c r="L360" s="17">
        <v>223.6</v>
      </c>
      <c r="M360" s="17">
        <v>31.5</v>
      </c>
      <c r="N360" s="17">
        <f t="shared" si="15"/>
        <v>192.1</v>
      </c>
      <c r="O360" s="17">
        <v>159.5</v>
      </c>
      <c r="P360" s="17">
        <v>184.7</v>
      </c>
      <c r="Q360" s="17">
        <v>118.9</v>
      </c>
      <c r="R360" s="17">
        <f t="shared" si="16"/>
        <v>73.199999999999989</v>
      </c>
      <c r="S360" s="17">
        <v>100.8</v>
      </c>
      <c r="T360" s="17">
        <f t="shared" si="17"/>
        <v>58.7</v>
      </c>
    </row>
    <row r="361" spans="1:20" x14ac:dyDescent="0.35">
      <c r="A361" s="14" t="s">
        <v>62</v>
      </c>
      <c r="B361" s="15" t="s">
        <v>63</v>
      </c>
      <c r="C361" s="15" t="s">
        <v>64</v>
      </c>
      <c r="D361" s="15" t="s">
        <v>99</v>
      </c>
      <c r="E361" s="15" t="s">
        <v>66</v>
      </c>
      <c r="F361" s="15" t="s">
        <v>83</v>
      </c>
      <c r="G361" s="15" t="s">
        <v>84</v>
      </c>
      <c r="H361" s="15" t="s">
        <v>72</v>
      </c>
      <c r="I361" s="16">
        <v>21247</v>
      </c>
      <c r="J361" s="16">
        <v>16855</v>
      </c>
      <c r="K361" s="16">
        <v>20896</v>
      </c>
      <c r="L361" s="17">
        <v>634.9</v>
      </c>
      <c r="M361" s="17">
        <v>88.5</v>
      </c>
      <c r="N361" s="17">
        <f t="shared" si="15"/>
        <v>546.4</v>
      </c>
      <c r="O361" s="17">
        <v>411.2</v>
      </c>
      <c r="P361" s="17">
        <v>535</v>
      </c>
      <c r="Q361" s="17">
        <v>324</v>
      </c>
      <c r="R361" s="17">
        <f t="shared" si="16"/>
        <v>222.39999999999998</v>
      </c>
      <c r="S361" s="17">
        <v>247.2</v>
      </c>
      <c r="T361" s="17">
        <f t="shared" si="17"/>
        <v>164</v>
      </c>
    </row>
    <row r="362" spans="1:20" x14ac:dyDescent="0.35">
      <c r="A362" s="14" t="s">
        <v>62</v>
      </c>
      <c r="B362" s="15" t="s">
        <v>63</v>
      </c>
      <c r="C362" s="15" t="s">
        <v>64</v>
      </c>
      <c r="D362" s="15" t="s">
        <v>99</v>
      </c>
      <c r="E362" s="15" t="s">
        <v>89</v>
      </c>
      <c r="F362" s="15" t="s">
        <v>67</v>
      </c>
      <c r="G362" s="15" t="s">
        <v>68</v>
      </c>
      <c r="H362" s="15" t="s">
        <v>69</v>
      </c>
      <c r="I362" s="16">
        <v>303233</v>
      </c>
      <c r="J362" s="16">
        <v>287356</v>
      </c>
      <c r="K362" s="16">
        <v>295509</v>
      </c>
      <c r="L362" s="17">
        <v>1486.1</v>
      </c>
      <c r="M362" s="17">
        <v>100.5</v>
      </c>
      <c r="N362" s="17">
        <f t="shared" si="15"/>
        <v>1385.6</v>
      </c>
      <c r="O362" s="17">
        <v>1248.0999999999999</v>
      </c>
      <c r="P362" s="17">
        <v>1356.9</v>
      </c>
      <c r="Q362" s="17">
        <v>773.8</v>
      </c>
      <c r="R362" s="17">
        <f t="shared" si="16"/>
        <v>611.79999999999995</v>
      </c>
      <c r="S362" s="17">
        <v>715.2</v>
      </c>
      <c r="T362" s="17">
        <f t="shared" si="17"/>
        <v>532.89999999999986</v>
      </c>
    </row>
    <row r="363" spans="1:20" x14ac:dyDescent="0.35">
      <c r="A363" s="14" t="s">
        <v>62</v>
      </c>
      <c r="B363" s="15" t="s">
        <v>63</v>
      </c>
      <c r="C363" s="15" t="s">
        <v>64</v>
      </c>
      <c r="D363" s="15" t="s">
        <v>99</v>
      </c>
      <c r="E363" s="15" t="s">
        <v>89</v>
      </c>
      <c r="F363" s="15" t="s">
        <v>67</v>
      </c>
      <c r="G363" s="15" t="s">
        <v>68</v>
      </c>
      <c r="H363" s="15" t="s">
        <v>70</v>
      </c>
      <c r="I363" s="16">
        <v>336417</v>
      </c>
      <c r="J363" s="16">
        <v>309793</v>
      </c>
      <c r="K363" s="16">
        <v>330185</v>
      </c>
      <c r="L363" s="17">
        <v>1931.3</v>
      </c>
      <c r="M363" s="17">
        <v>138.19999999999999</v>
      </c>
      <c r="N363" s="17">
        <f t="shared" si="15"/>
        <v>1793.1</v>
      </c>
      <c r="O363" s="17">
        <v>1565.2</v>
      </c>
      <c r="P363" s="17">
        <v>1744.7</v>
      </c>
      <c r="Q363" s="17">
        <v>1018.8</v>
      </c>
      <c r="R363" s="17">
        <f t="shared" si="16"/>
        <v>774.3</v>
      </c>
      <c r="S363" s="17">
        <v>902.4</v>
      </c>
      <c r="T363" s="17">
        <f t="shared" si="17"/>
        <v>662.80000000000007</v>
      </c>
    </row>
    <row r="364" spans="1:20" x14ac:dyDescent="0.35">
      <c r="A364" s="14" t="s">
        <v>62</v>
      </c>
      <c r="B364" s="15" t="s">
        <v>63</v>
      </c>
      <c r="C364" s="15" t="s">
        <v>64</v>
      </c>
      <c r="D364" s="15" t="s">
        <v>99</v>
      </c>
      <c r="E364" s="15" t="s">
        <v>89</v>
      </c>
      <c r="F364" s="15" t="s">
        <v>67</v>
      </c>
      <c r="G364" s="15" t="s">
        <v>68</v>
      </c>
      <c r="H364" s="15" t="s">
        <v>71</v>
      </c>
      <c r="I364" s="16">
        <v>287943</v>
      </c>
      <c r="J364" s="16">
        <v>267224</v>
      </c>
      <c r="K364" s="16">
        <v>281200</v>
      </c>
      <c r="L364" s="17">
        <v>2097.6999999999998</v>
      </c>
      <c r="M364" s="17">
        <v>139.9</v>
      </c>
      <c r="N364" s="17">
        <f t="shared" si="15"/>
        <v>1957.7999999999997</v>
      </c>
      <c r="O364" s="17">
        <v>1719.2</v>
      </c>
      <c r="P364" s="17">
        <v>1903.5</v>
      </c>
      <c r="Q364" s="17">
        <v>1208.9000000000001</v>
      </c>
      <c r="R364" s="17">
        <f t="shared" si="16"/>
        <v>748.89999999999964</v>
      </c>
      <c r="S364" s="17">
        <v>1085.8</v>
      </c>
      <c r="T364" s="17">
        <f t="shared" si="17"/>
        <v>633.40000000000009</v>
      </c>
    </row>
    <row r="365" spans="1:20" x14ac:dyDescent="0.35">
      <c r="A365" s="14" t="s">
        <v>62</v>
      </c>
      <c r="B365" s="15" t="s">
        <v>63</v>
      </c>
      <c r="C365" s="15" t="s">
        <v>64</v>
      </c>
      <c r="D365" s="15" t="s">
        <v>99</v>
      </c>
      <c r="E365" s="15" t="s">
        <v>89</v>
      </c>
      <c r="F365" s="15" t="s">
        <v>67</v>
      </c>
      <c r="G365" s="15" t="s">
        <v>68</v>
      </c>
      <c r="H365" s="15" t="s">
        <v>72</v>
      </c>
      <c r="I365" s="16">
        <v>64929</v>
      </c>
      <c r="J365" s="16">
        <v>59631</v>
      </c>
      <c r="K365" s="16">
        <v>63721</v>
      </c>
      <c r="L365" s="17">
        <v>652.70000000000005</v>
      </c>
      <c r="M365" s="17">
        <v>39.5</v>
      </c>
      <c r="N365" s="17">
        <f t="shared" si="15"/>
        <v>613.20000000000005</v>
      </c>
      <c r="O365" s="17">
        <v>532.29999999999995</v>
      </c>
      <c r="P365" s="17">
        <v>590.29999999999995</v>
      </c>
      <c r="Q365" s="17">
        <v>386.5</v>
      </c>
      <c r="R365" s="17">
        <f t="shared" si="16"/>
        <v>226.70000000000005</v>
      </c>
      <c r="S365" s="17">
        <v>337.9</v>
      </c>
      <c r="T365" s="17">
        <f t="shared" si="17"/>
        <v>194.39999999999998</v>
      </c>
    </row>
    <row r="366" spans="1:20" x14ac:dyDescent="0.35">
      <c r="A366" s="14" t="s">
        <v>62</v>
      </c>
      <c r="B366" s="15" t="s">
        <v>63</v>
      </c>
      <c r="C366" s="15" t="s">
        <v>64</v>
      </c>
      <c r="D366" s="15" t="s">
        <v>99</v>
      </c>
      <c r="E366" s="15" t="s">
        <v>89</v>
      </c>
      <c r="F366" s="15" t="s">
        <v>67</v>
      </c>
      <c r="G366" s="15" t="s">
        <v>73</v>
      </c>
      <c r="H366" s="15" t="s">
        <v>71</v>
      </c>
      <c r="I366" s="16">
        <v>74092</v>
      </c>
      <c r="J366" s="16">
        <v>63106</v>
      </c>
      <c r="K366" s="16">
        <v>72928</v>
      </c>
      <c r="L366" s="17">
        <v>539.20000000000005</v>
      </c>
      <c r="M366" s="17">
        <v>39</v>
      </c>
      <c r="N366" s="17">
        <f t="shared" si="15"/>
        <v>500.20000000000005</v>
      </c>
      <c r="O366" s="17">
        <v>398.8</v>
      </c>
      <c r="P366" s="17">
        <v>489.4</v>
      </c>
      <c r="Q366" s="17">
        <v>311.60000000000002</v>
      </c>
      <c r="R366" s="17">
        <f t="shared" si="16"/>
        <v>188.60000000000002</v>
      </c>
      <c r="S366" s="17">
        <v>251</v>
      </c>
      <c r="T366" s="17">
        <f t="shared" si="17"/>
        <v>147.80000000000001</v>
      </c>
    </row>
    <row r="367" spans="1:20" x14ac:dyDescent="0.35">
      <c r="A367" s="14" t="s">
        <v>62</v>
      </c>
      <c r="B367" s="15" t="s">
        <v>63</v>
      </c>
      <c r="C367" s="15" t="s">
        <v>64</v>
      </c>
      <c r="D367" s="15" t="s">
        <v>99</v>
      </c>
      <c r="E367" s="15" t="s">
        <v>89</v>
      </c>
      <c r="F367" s="15" t="s">
        <v>67</v>
      </c>
      <c r="G367" s="15" t="s">
        <v>73</v>
      </c>
      <c r="H367" s="15" t="s">
        <v>72</v>
      </c>
      <c r="I367" s="16">
        <v>21545</v>
      </c>
      <c r="J367" s="16">
        <v>18048</v>
      </c>
      <c r="K367" s="16">
        <v>21170</v>
      </c>
      <c r="L367" s="17">
        <v>211.6</v>
      </c>
      <c r="M367" s="17">
        <v>15.5</v>
      </c>
      <c r="N367" s="17">
        <f t="shared" si="15"/>
        <v>196.1</v>
      </c>
      <c r="O367" s="17">
        <v>155.5</v>
      </c>
      <c r="P367" s="17">
        <v>191.9</v>
      </c>
      <c r="Q367" s="17">
        <v>125</v>
      </c>
      <c r="R367" s="17">
        <f t="shared" si="16"/>
        <v>71.099999999999994</v>
      </c>
      <c r="S367" s="17">
        <v>101.3</v>
      </c>
      <c r="T367" s="17">
        <f t="shared" si="17"/>
        <v>54.2</v>
      </c>
    </row>
    <row r="368" spans="1:20" x14ac:dyDescent="0.35">
      <c r="A368" s="14" t="s">
        <v>62</v>
      </c>
      <c r="B368" s="15" t="s">
        <v>63</v>
      </c>
      <c r="C368" s="15" t="s">
        <v>64</v>
      </c>
      <c r="D368" s="15" t="s">
        <v>99</v>
      </c>
      <c r="E368" s="15" t="s">
        <v>89</v>
      </c>
      <c r="F368" s="15" t="s">
        <v>67</v>
      </c>
      <c r="G368" s="15" t="s">
        <v>74</v>
      </c>
      <c r="H368" s="15" t="s">
        <v>70</v>
      </c>
      <c r="I368" s="16">
        <v>138885</v>
      </c>
      <c r="J368" s="16">
        <v>125223</v>
      </c>
      <c r="K368" s="16">
        <v>136452</v>
      </c>
      <c r="L368" s="17">
        <v>785.6</v>
      </c>
      <c r="M368" s="17">
        <v>57.4</v>
      </c>
      <c r="N368" s="17">
        <f t="shared" si="15"/>
        <v>728.2</v>
      </c>
      <c r="O368" s="17">
        <v>616.4</v>
      </c>
      <c r="P368" s="17">
        <v>702.9</v>
      </c>
      <c r="Q368" s="17">
        <v>405.7</v>
      </c>
      <c r="R368" s="17">
        <f t="shared" si="16"/>
        <v>322.50000000000006</v>
      </c>
      <c r="S368" s="17">
        <v>351.3</v>
      </c>
      <c r="T368" s="17">
        <f t="shared" si="17"/>
        <v>265.09999999999997</v>
      </c>
    </row>
    <row r="369" spans="1:20" x14ac:dyDescent="0.35">
      <c r="A369" s="14" t="s">
        <v>62</v>
      </c>
      <c r="B369" s="15" t="s">
        <v>63</v>
      </c>
      <c r="C369" s="15" t="s">
        <v>64</v>
      </c>
      <c r="D369" s="15" t="s">
        <v>99</v>
      </c>
      <c r="E369" s="15" t="s">
        <v>89</v>
      </c>
      <c r="F369" s="15" t="s">
        <v>67</v>
      </c>
      <c r="G369" s="15" t="s">
        <v>74</v>
      </c>
      <c r="H369" s="15" t="s">
        <v>71</v>
      </c>
      <c r="I369" s="16">
        <v>133515</v>
      </c>
      <c r="J369" s="16">
        <v>122507</v>
      </c>
      <c r="K369" s="16">
        <v>130409</v>
      </c>
      <c r="L369" s="17">
        <v>958</v>
      </c>
      <c r="M369" s="17">
        <v>74.7</v>
      </c>
      <c r="N369" s="17">
        <f t="shared" si="15"/>
        <v>883.3</v>
      </c>
      <c r="O369" s="17">
        <v>760</v>
      </c>
      <c r="P369" s="17">
        <v>851</v>
      </c>
      <c r="Q369" s="17">
        <v>549.79999999999995</v>
      </c>
      <c r="R369" s="17">
        <f t="shared" si="16"/>
        <v>333.5</v>
      </c>
      <c r="S369" s="17">
        <v>484.3</v>
      </c>
      <c r="T369" s="17">
        <f t="shared" si="17"/>
        <v>275.7</v>
      </c>
    </row>
    <row r="370" spans="1:20" x14ac:dyDescent="0.35">
      <c r="A370" s="14" t="s">
        <v>62</v>
      </c>
      <c r="B370" s="15" t="s">
        <v>63</v>
      </c>
      <c r="C370" s="15" t="s">
        <v>64</v>
      </c>
      <c r="D370" s="15" t="s">
        <v>99</v>
      </c>
      <c r="E370" s="15" t="s">
        <v>89</v>
      </c>
      <c r="F370" s="15" t="s">
        <v>67</v>
      </c>
      <c r="G370" s="15" t="s">
        <v>75</v>
      </c>
      <c r="H370" s="15" t="s">
        <v>71</v>
      </c>
      <c r="I370" s="16">
        <v>90705</v>
      </c>
      <c r="J370" s="16">
        <v>83591</v>
      </c>
      <c r="K370" s="16">
        <v>89125</v>
      </c>
      <c r="L370" s="17">
        <v>657.3</v>
      </c>
      <c r="M370" s="17">
        <v>49.4</v>
      </c>
      <c r="N370" s="17">
        <f t="shared" si="15"/>
        <v>607.9</v>
      </c>
      <c r="O370" s="17">
        <v>528.6</v>
      </c>
      <c r="P370" s="17">
        <v>592.70000000000005</v>
      </c>
      <c r="Q370" s="17">
        <v>374.7</v>
      </c>
      <c r="R370" s="17">
        <f t="shared" si="16"/>
        <v>233.2</v>
      </c>
      <c r="S370" s="17">
        <v>331.7</v>
      </c>
      <c r="T370" s="17">
        <f t="shared" si="17"/>
        <v>196.90000000000003</v>
      </c>
    </row>
    <row r="371" spans="1:20" x14ac:dyDescent="0.35">
      <c r="A371" s="14" t="s">
        <v>62</v>
      </c>
      <c r="B371" s="15" t="s">
        <v>63</v>
      </c>
      <c r="C371" s="15" t="s">
        <v>64</v>
      </c>
      <c r="D371" s="15" t="s">
        <v>99</v>
      </c>
      <c r="E371" s="15" t="s">
        <v>89</v>
      </c>
      <c r="F371" s="15" t="s">
        <v>67</v>
      </c>
      <c r="G371" s="15" t="s">
        <v>76</v>
      </c>
      <c r="H371" s="15" t="s">
        <v>72</v>
      </c>
      <c r="I371" s="16">
        <v>15323</v>
      </c>
      <c r="J371" s="16">
        <v>13560</v>
      </c>
      <c r="K371" s="16">
        <v>15081</v>
      </c>
      <c r="L371" s="17">
        <v>180.6</v>
      </c>
      <c r="M371" s="17">
        <v>11.7</v>
      </c>
      <c r="N371" s="17">
        <f t="shared" si="15"/>
        <v>168.9</v>
      </c>
      <c r="O371" s="17">
        <v>141.80000000000001</v>
      </c>
      <c r="P371" s="17">
        <v>163.30000000000001</v>
      </c>
      <c r="Q371" s="17">
        <v>104.2</v>
      </c>
      <c r="R371" s="17">
        <f t="shared" si="16"/>
        <v>64.7</v>
      </c>
      <c r="S371" s="17">
        <v>88.7</v>
      </c>
      <c r="T371" s="17">
        <f t="shared" si="17"/>
        <v>53.100000000000009</v>
      </c>
    </row>
    <row r="372" spans="1:20" x14ac:dyDescent="0.35">
      <c r="A372" s="14" t="s">
        <v>62</v>
      </c>
      <c r="B372" s="15" t="s">
        <v>63</v>
      </c>
      <c r="C372" s="15" t="s">
        <v>64</v>
      </c>
      <c r="D372" s="15" t="s">
        <v>99</v>
      </c>
      <c r="E372" s="15" t="s">
        <v>89</v>
      </c>
      <c r="F372" s="15" t="s">
        <v>79</v>
      </c>
      <c r="G372" s="15" t="s">
        <v>80</v>
      </c>
      <c r="H372" s="15" t="s">
        <v>71</v>
      </c>
      <c r="I372" s="16">
        <v>90117</v>
      </c>
      <c r="J372" s="16">
        <v>81956</v>
      </c>
      <c r="K372" s="16">
        <v>88041</v>
      </c>
      <c r="L372" s="17">
        <v>415.3</v>
      </c>
      <c r="M372" s="17">
        <v>32</v>
      </c>
      <c r="N372" s="17">
        <f t="shared" si="15"/>
        <v>383.3</v>
      </c>
      <c r="O372" s="17">
        <v>329.6</v>
      </c>
      <c r="P372" s="17">
        <v>375.7</v>
      </c>
      <c r="Q372" s="17">
        <v>234.7</v>
      </c>
      <c r="R372" s="17">
        <f t="shared" si="16"/>
        <v>148.60000000000002</v>
      </c>
      <c r="S372" s="17">
        <v>205.9</v>
      </c>
      <c r="T372" s="17">
        <f t="shared" si="17"/>
        <v>123.70000000000002</v>
      </c>
    </row>
    <row r="373" spans="1:20" x14ac:dyDescent="0.35">
      <c r="A373" s="14" t="s">
        <v>62</v>
      </c>
      <c r="B373" s="15" t="s">
        <v>63</v>
      </c>
      <c r="C373" s="15" t="s">
        <v>64</v>
      </c>
      <c r="D373" s="15" t="s">
        <v>99</v>
      </c>
      <c r="E373" s="15" t="s">
        <v>89</v>
      </c>
      <c r="F373" s="15" t="s">
        <v>81</v>
      </c>
      <c r="G373" s="15" t="s">
        <v>82</v>
      </c>
      <c r="H373" s="15" t="s">
        <v>71</v>
      </c>
      <c r="I373" s="16">
        <v>33232</v>
      </c>
      <c r="J373" s="16">
        <v>29488</v>
      </c>
      <c r="K373" s="16">
        <v>32488</v>
      </c>
      <c r="L373" s="17">
        <v>314.2</v>
      </c>
      <c r="M373" s="17">
        <v>22.6</v>
      </c>
      <c r="N373" s="17">
        <f t="shared" si="15"/>
        <v>291.59999999999997</v>
      </c>
      <c r="O373" s="17">
        <v>243.1</v>
      </c>
      <c r="P373" s="17">
        <v>281.8</v>
      </c>
      <c r="Q373" s="17">
        <v>181.9</v>
      </c>
      <c r="R373" s="17">
        <f t="shared" si="16"/>
        <v>109.69999999999996</v>
      </c>
      <c r="S373" s="17">
        <v>154</v>
      </c>
      <c r="T373" s="17">
        <f t="shared" si="17"/>
        <v>89.1</v>
      </c>
    </row>
    <row r="374" spans="1:20" x14ac:dyDescent="0.35">
      <c r="A374" s="14" t="s">
        <v>62</v>
      </c>
      <c r="B374" s="15" t="s">
        <v>63</v>
      </c>
      <c r="C374" s="15" t="s">
        <v>64</v>
      </c>
      <c r="D374" s="15" t="s">
        <v>99</v>
      </c>
      <c r="E374" s="15" t="s">
        <v>89</v>
      </c>
      <c r="F374" s="15" t="s">
        <v>83</v>
      </c>
      <c r="G374" s="15" t="s">
        <v>84</v>
      </c>
      <c r="H374" s="15" t="s">
        <v>72</v>
      </c>
      <c r="I374" s="16">
        <v>12615</v>
      </c>
      <c r="J374" s="16">
        <v>10093</v>
      </c>
      <c r="K374" s="16">
        <v>12279</v>
      </c>
      <c r="L374" s="17">
        <v>366.5</v>
      </c>
      <c r="M374" s="17">
        <v>24.6</v>
      </c>
      <c r="N374" s="17">
        <f t="shared" si="15"/>
        <v>341.9</v>
      </c>
      <c r="O374" s="17">
        <v>255.7</v>
      </c>
      <c r="P374" s="17">
        <v>333.8</v>
      </c>
      <c r="Q374" s="17">
        <v>203.3</v>
      </c>
      <c r="R374" s="17">
        <f t="shared" si="16"/>
        <v>138.59999999999997</v>
      </c>
      <c r="S374" s="17">
        <v>155.5</v>
      </c>
      <c r="T374" s="17">
        <f t="shared" si="17"/>
        <v>100.19999999999999</v>
      </c>
    </row>
    <row r="375" spans="1:20" x14ac:dyDescent="0.35">
      <c r="A375" s="14" t="s">
        <v>62</v>
      </c>
      <c r="B375" s="15" t="s">
        <v>63</v>
      </c>
      <c r="C375" s="15" t="s">
        <v>64</v>
      </c>
      <c r="D375" s="15" t="s">
        <v>99</v>
      </c>
      <c r="E375" s="15" t="s">
        <v>90</v>
      </c>
      <c r="F375" s="15" t="s">
        <v>67</v>
      </c>
      <c r="G375" s="15" t="s">
        <v>68</v>
      </c>
      <c r="H375" s="15" t="s">
        <v>69</v>
      </c>
      <c r="I375" s="16">
        <v>99590</v>
      </c>
      <c r="J375" s="16">
        <v>93752</v>
      </c>
      <c r="K375" s="16">
        <v>98005</v>
      </c>
      <c r="L375" s="17">
        <v>435</v>
      </c>
      <c r="M375" s="17">
        <v>44.9</v>
      </c>
      <c r="N375" s="17">
        <f t="shared" si="15"/>
        <v>390.1</v>
      </c>
      <c r="O375" s="17">
        <v>344.3</v>
      </c>
      <c r="P375" s="17">
        <v>378.1</v>
      </c>
      <c r="Q375" s="17">
        <v>216.1</v>
      </c>
      <c r="R375" s="17">
        <f t="shared" si="16"/>
        <v>174.00000000000003</v>
      </c>
      <c r="S375" s="17">
        <v>194.6</v>
      </c>
      <c r="T375" s="17">
        <f t="shared" si="17"/>
        <v>149.70000000000002</v>
      </c>
    </row>
    <row r="376" spans="1:20" x14ac:dyDescent="0.35">
      <c r="A376" s="14" t="s">
        <v>62</v>
      </c>
      <c r="B376" s="15" t="s">
        <v>63</v>
      </c>
      <c r="C376" s="15" t="s">
        <v>64</v>
      </c>
      <c r="D376" s="15" t="s">
        <v>99</v>
      </c>
      <c r="E376" s="15" t="s">
        <v>90</v>
      </c>
      <c r="F376" s="15" t="s">
        <v>67</v>
      </c>
      <c r="G376" s="15" t="s">
        <v>68</v>
      </c>
      <c r="H376" s="15" t="s">
        <v>70</v>
      </c>
      <c r="I376" s="16">
        <v>110363</v>
      </c>
      <c r="J376" s="16">
        <v>102360</v>
      </c>
      <c r="K376" s="16">
        <v>107385</v>
      </c>
      <c r="L376" s="17">
        <v>575.4</v>
      </c>
      <c r="M376" s="17">
        <v>61.3</v>
      </c>
      <c r="N376" s="17">
        <f t="shared" si="15"/>
        <v>514.1</v>
      </c>
      <c r="O376" s="17">
        <v>449.9</v>
      </c>
      <c r="P376" s="17">
        <v>503.4</v>
      </c>
      <c r="Q376" s="17">
        <v>295.10000000000002</v>
      </c>
      <c r="R376" s="17">
        <f t="shared" si="16"/>
        <v>219</v>
      </c>
      <c r="S376" s="17">
        <v>264.5</v>
      </c>
      <c r="T376" s="17">
        <f t="shared" si="17"/>
        <v>185.39999999999998</v>
      </c>
    </row>
    <row r="377" spans="1:20" x14ac:dyDescent="0.35">
      <c r="A377" s="14" t="s">
        <v>62</v>
      </c>
      <c r="B377" s="15" t="s">
        <v>63</v>
      </c>
      <c r="C377" s="15" t="s">
        <v>64</v>
      </c>
      <c r="D377" s="15" t="s">
        <v>99</v>
      </c>
      <c r="E377" s="15" t="s">
        <v>90</v>
      </c>
      <c r="F377" s="15" t="s">
        <v>67</v>
      </c>
      <c r="G377" s="15" t="s">
        <v>68</v>
      </c>
      <c r="H377" s="15" t="s">
        <v>71</v>
      </c>
      <c r="I377" s="16">
        <v>175632</v>
      </c>
      <c r="J377" s="16">
        <v>162487</v>
      </c>
      <c r="K377" s="16">
        <v>172113</v>
      </c>
      <c r="L377" s="17">
        <v>1185.3</v>
      </c>
      <c r="M377" s="17">
        <v>129</v>
      </c>
      <c r="N377" s="17">
        <f t="shared" si="15"/>
        <v>1056.3</v>
      </c>
      <c r="O377" s="17">
        <v>914.5</v>
      </c>
      <c r="P377" s="17">
        <v>1028.4000000000001</v>
      </c>
      <c r="Q377" s="17">
        <v>663.4</v>
      </c>
      <c r="R377" s="17">
        <f t="shared" si="16"/>
        <v>392.9</v>
      </c>
      <c r="S377" s="17">
        <v>581.4</v>
      </c>
      <c r="T377" s="17">
        <f t="shared" si="17"/>
        <v>333.1</v>
      </c>
    </row>
    <row r="378" spans="1:20" x14ac:dyDescent="0.35">
      <c r="A378" s="14" t="s">
        <v>62</v>
      </c>
      <c r="B378" s="15" t="s">
        <v>63</v>
      </c>
      <c r="C378" s="15" t="s">
        <v>64</v>
      </c>
      <c r="D378" s="15" t="s">
        <v>99</v>
      </c>
      <c r="E378" s="15" t="s">
        <v>90</v>
      </c>
      <c r="F378" s="15" t="s">
        <v>67</v>
      </c>
      <c r="G378" s="15" t="s">
        <v>68</v>
      </c>
      <c r="H378" s="15" t="s">
        <v>72</v>
      </c>
      <c r="I378" s="16">
        <v>42791</v>
      </c>
      <c r="J378" s="16">
        <v>39392</v>
      </c>
      <c r="K378" s="16">
        <v>41927</v>
      </c>
      <c r="L378" s="17">
        <v>391.1</v>
      </c>
      <c r="M378" s="17">
        <v>46.4</v>
      </c>
      <c r="N378" s="17">
        <f t="shared" si="15"/>
        <v>344.70000000000005</v>
      </c>
      <c r="O378" s="17">
        <v>298.8</v>
      </c>
      <c r="P378" s="17">
        <v>334.6</v>
      </c>
      <c r="Q378" s="17">
        <v>219.2</v>
      </c>
      <c r="R378" s="17">
        <f t="shared" si="16"/>
        <v>125.50000000000006</v>
      </c>
      <c r="S378" s="17">
        <v>191.5</v>
      </c>
      <c r="T378" s="17">
        <f t="shared" si="17"/>
        <v>107.30000000000001</v>
      </c>
    </row>
    <row r="379" spans="1:20" x14ac:dyDescent="0.35">
      <c r="A379" s="14" t="s">
        <v>62</v>
      </c>
      <c r="B379" s="15" t="s">
        <v>63</v>
      </c>
      <c r="C379" s="15" t="s">
        <v>64</v>
      </c>
      <c r="D379" s="15" t="s">
        <v>99</v>
      </c>
      <c r="E379" s="15" t="s">
        <v>90</v>
      </c>
      <c r="F379" s="15" t="s">
        <v>67</v>
      </c>
      <c r="G379" s="15" t="s">
        <v>73</v>
      </c>
      <c r="H379" s="15" t="s">
        <v>71</v>
      </c>
      <c r="I379" s="16">
        <v>40682</v>
      </c>
      <c r="J379" s="16">
        <v>35211</v>
      </c>
      <c r="K379" s="16">
        <v>39883</v>
      </c>
      <c r="L379" s="17">
        <v>265.5</v>
      </c>
      <c r="M379" s="17">
        <v>28.3</v>
      </c>
      <c r="N379" s="17">
        <f t="shared" si="15"/>
        <v>237.2</v>
      </c>
      <c r="O379" s="17">
        <v>194.7</v>
      </c>
      <c r="P379" s="17">
        <v>229.1</v>
      </c>
      <c r="Q379" s="17">
        <v>150.19999999999999</v>
      </c>
      <c r="R379" s="17">
        <f t="shared" si="16"/>
        <v>87</v>
      </c>
      <c r="S379" s="17">
        <v>124.7</v>
      </c>
      <c r="T379" s="17">
        <f t="shared" si="17"/>
        <v>69.999999999999986</v>
      </c>
    </row>
    <row r="380" spans="1:20" x14ac:dyDescent="0.35">
      <c r="A380" s="14" t="s">
        <v>62</v>
      </c>
      <c r="B380" s="15" t="s">
        <v>63</v>
      </c>
      <c r="C380" s="15" t="s">
        <v>64</v>
      </c>
      <c r="D380" s="15" t="s">
        <v>99</v>
      </c>
      <c r="E380" s="15" t="s">
        <v>90</v>
      </c>
      <c r="F380" s="15" t="s">
        <v>67</v>
      </c>
      <c r="G380" s="15" t="s">
        <v>73</v>
      </c>
      <c r="H380" s="15" t="s">
        <v>72</v>
      </c>
      <c r="I380" s="16">
        <v>14274</v>
      </c>
      <c r="J380" s="16">
        <v>11894</v>
      </c>
      <c r="K380" s="16">
        <v>14090</v>
      </c>
      <c r="L380" s="17">
        <v>128.4</v>
      </c>
      <c r="M380" s="17">
        <v>14.6</v>
      </c>
      <c r="N380" s="17">
        <f t="shared" si="15"/>
        <v>113.80000000000001</v>
      </c>
      <c r="O380" s="17">
        <v>89.7</v>
      </c>
      <c r="P380" s="17">
        <v>109.7</v>
      </c>
      <c r="Q380" s="17">
        <v>74.400000000000006</v>
      </c>
      <c r="R380" s="17">
        <f t="shared" si="16"/>
        <v>39.400000000000006</v>
      </c>
      <c r="S380" s="17">
        <v>59.9</v>
      </c>
      <c r="T380" s="17">
        <f t="shared" si="17"/>
        <v>29.800000000000004</v>
      </c>
    </row>
    <row r="381" spans="1:20" x14ac:dyDescent="0.35">
      <c r="A381" s="14" t="s">
        <v>62</v>
      </c>
      <c r="B381" s="15" t="s">
        <v>63</v>
      </c>
      <c r="C381" s="15" t="s">
        <v>64</v>
      </c>
      <c r="D381" s="15" t="s">
        <v>99</v>
      </c>
      <c r="E381" s="15" t="s">
        <v>90</v>
      </c>
      <c r="F381" s="15" t="s">
        <v>67</v>
      </c>
      <c r="G381" s="15" t="s">
        <v>74</v>
      </c>
      <c r="H381" s="15" t="s">
        <v>70</v>
      </c>
      <c r="I381" s="16">
        <v>51374</v>
      </c>
      <c r="J381" s="16">
        <v>46680</v>
      </c>
      <c r="K381" s="16">
        <v>50729</v>
      </c>
      <c r="L381" s="17">
        <v>266.7</v>
      </c>
      <c r="M381" s="17">
        <v>31.4</v>
      </c>
      <c r="N381" s="17">
        <f t="shared" si="15"/>
        <v>235.29999999999998</v>
      </c>
      <c r="O381" s="17">
        <v>203.4</v>
      </c>
      <c r="P381" s="17">
        <v>228.1</v>
      </c>
      <c r="Q381" s="17">
        <v>131.19999999999999</v>
      </c>
      <c r="R381" s="17">
        <f t="shared" si="16"/>
        <v>104.1</v>
      </c>
      <c r="S381" s="17">
        <v>114.8</v>
      </c>
      <c r="T381" s="17">
        <f t="shared" si="17"/>
        <v>88.600000000000009</v>
      </c>
    </row>
    <row r="382" spans="1:20" x14ac:dyDescent="0.35">
      <c r="A382" s="14" t="s">
        <v>62</v>
      </c>
      <c r="B382" s="15" t="s">
        <v>63</v>
      </c>
      <c r="C382" s="15" t="s">
        <v>64</v>
      </c>
      <c r="D382" s="15" t="s">
        <v>99</v>
      </c>
      <c r="E382" s="15" t="s">
        <v>90</v>
      </c>
      <c r="F382" s="15" t="s">
        <v>67</v>
      </c>
      <c r="G382" s="15" t="s">
        <v>74</v>
      </c>
      <c r="H382" s="15" t="s">
        <v>71</v>
      </c>
      <c r="I382" s="16">
        <v>60630</v>
      </c>
      <c r="J382" s="16">
        <v>55385</v>
      </c>
      <c r="K382" s="16">
        <v>59136</v>
      </c>
      <c r="L382" s="17">
        <v>401.3</v>
      </c>
      <c r="M382" s="17">
        <v>42.2</v>
      </c>
      <c r="N382" s="17">
        <f t="shared" si="15"/>
        <v>359.1</v>
      </c>
      <c r="O382" s="17">
        <v>308.7</v>
      </c>
      <c r="P382" s="17">
        <v>349.1</v>
      </c>
      <c r="Q382" s="17">
        <v>223.4</v>
      </c>
      <c r="R382" s="17">
        <f t="shared" si="16"/>
        <v>135.70000000000002</v>
      </c>
      <c r="S382" s="17">
        <v>193.5</v>
      </c>
      <c r="T382" s="17">
        <f t="shared" si="17"/>
        <v>115.19999999999999</v>
      </c>
    </row>
    <row r="383" spans="1:20" x14ac:dyDescent="0.35">
      <c r="A383" s="14" t="s">
        <v>62</v>
      </c>
      <c r="B383" s="15" t="s">
        <v>63</v>
      </c>
      <c r="C383" s="15" t="s">
        <v>64</v>
      </c>
      <c r="D383" s="15" t="s">
        <v>99</v>
      </c>
      <c r="E383" s="15" t="s">
        <v>90</v>
      </c>
      <c r="F383" s="15" t="s">
        <v>67</v>
      </c>
      <c r="G383" s="15" t="s">
        <v>75</v>
      </c>
      <c r="H383" s="15" t="s">
        <v>71</v>
      </c>
      <c r="I383" s="16">
        <v>49051</v>
      </c>
      <c r="J383" s="16">
        <v>45917</v>
      </c>
      <c r="K383" s="16">
        <v>47827</v>
      </c>
      <c r="L383" s="17">
        <v>314.8</v>
      </c>
      <c r="M383" s="17">
        <v>32.700000000000003</v>
      </c>
      <c r="N383" s="17">
        <f t="shared" si="15"/>
        <v>282.10000000000002</v>
      </c>
      <c r="O383" s="17">
        <v>246.9</v>
      </c>
      <c r="P383" s="17">
        <v>275.5</v>
      </c>
      <c r="Q383" s="17">
        <v>172.2</v>
      </c>
      <c r="R383" s="17">
        <f t="shared" si="16"/>
        <v>109.90000000000003</v>
      </c>
      <c r="S383" s="17">
        <v>152.69999999999999</v>
      </c>
      <c r="T383" s="17">
        <f t="shared" si="17"/>
        <v>94.200000000000017</v>
      </c>
    </row>
    <row r="384" spans="1:20" x14ac:dyDescent="0.35">
      <c r="A384" s="14" t="s">
        <v>62</v>
      </c>
      <c r="B384" s="15" t="s">
        <v>63</v>
      </c>
      <c r="C384" s="15" t="s">
        <v>64</v>
      </c>
      <c r="D384" s="15" t="s">
        <v>99</v>
      </c>
      <c r="E384" s="15" t="s">
        <v>90</v>
      </c>
      <c r="F384" s="15" t="s">
        <v>67</v>
      </c>
      <c r="G384" s="15" t="s">
        <v>76</v>
      </c>
      <c r="H384" s="15" t="s">
        <v>72</v>
      </c>
      <c r="I384" s="16">
        <v>11338</v>
      </c>
      <c r="J384" s="16">
        <v>10171</v>
      </c>
      <c r="K384" s="16">
        <v>11077</v>
      </c>
      <c r="L384" s="17">
        <v>124.5</v>
      </c>
      <c r="M384" s="17">
        <v>12.4</v>
      </c>
      <c r="N384" s="17">
        <f t="shared" si="15"/>
        <v>112.1</v>
      </c>
      <c r="O384" s="17">
        <v>95.1</v>
      </c>
      <c r="P384" s="17">
        <v>109.3</v>
      </c>
      <c r="Q384" s="17">
        <v>68.400000000000006</v>
      </c>
      <c r="R384" s="17">
        <f t="shared" si="16"/>
        <v>43.699999999999989</v>
      </c>
      <c r="S384" s="17">
        <v>58.6</v>
      </c>
      <c r="T384" s="17">
        <f t="shared" si="17"/>
        <v>36.499999999999993</v>
      </c>
    </row>
    <row r="385" spans="1:20" x14ac:dyDescent="0.35">
      <c r="A385" s="14" t="s">
        <v>62</v>
      </c>
      <c r="B385" s="15" t="s">
        <v>63</v>
      </c>
      <c r="C385" s="15" t="s">
        <v>64</v>
      </c>
      <c r="D385" s="15" t="s">
        <v>99</v>
      </c>
      <c r="E385" s="15" t="s">
        <v>90</v>
      </c>
      <c r="F385" s="15" t="s">
        <v>79</v>
      </c>
      <c r="G385" s="15" t="s">
        <v>80</v>
      </c>
      <c r="H385" s="15" t="s">
        <v>71</v>
      </c>
      <c r="I385" s="16">
        <v>55312</v>
      </c>
      <c r="J385" s="16">
        <v>50323</v>
      </c>
      <c r="K385" s="16">
        <v>54262</v>
      </c>
      <c r="L385" s="17">
        <v>231.5</v>
      </c>
      <c r="M385" s="17">
        <v>27.7</v>
      </c>
      <c r="N385" s="17">
        <f t="shared" si="15"/>
        <v>203.8</v>
      </c>
      <c r="O385" s="17">
        <v>174.9</v>
      </c>
      <c r="P385" s="17">
        <v>197.3</v>
      </c>
      <c r="Q385" s="17">
        <v>122.3</v>
      </c>
      <c r="R385" s="17">
        <f t="shared" si="16"/>
        <v>81.500000000000014</v>
      </c>
      <c r="S385" s="17">
        <v>107.1</v>
      </c>
      <c r="T385" s="17">
        <f t="shared" si="17"/>
        <v>67.800000000000011</v>
      </c>
    </row>
    <row r="386" spans="1:20" x14ac:dyDescent="0.35">
      <c r="A386" s="14" t="s">
        <v>62</v>
      </c>
      <c r="B386" s="15" t="s">
        <v>63</v>
      </c>
      <c r="C386" s="15" t="s">
        <v>64</v>
      </c>
      <c r="D386" s="15" t="s">
        <v>99</v>
      </c>
      <c r="E386" s="15" t="s">
        <v>90</v>
      </c>
      <c r="F386" s="15" t="s">
        <v>81</v>
      </c>
      <c r="G386" s="15" t="s">
        <v>82</v>
      </c>
      <c r="H386" s="15" t="s">
        <v>71</v>
      </c>
      <c r="I386" s="16">
        <v>16371</v>
      </c>
      <c r="J386" s="16">
        <v>14580</v>
      </c>
      <c r="K386" s="16">
        <v>16090</v>
      </c>
      <c r="L386" s="17">
        <v>138.1</v>
      </c>
      <c r="M386" s="17">
        <v>14.2</v>
      </c>
      <c r="N386" s="17">
        <f t="shared" si="15"/>
        <v>123.89999999999999</v>
      </c>
      <c r="O386" s="17">
        <v>105</v>
      </c>
      <c r="P386" s="17">
        <v>119.8</v>
      </c>
      <c r="Q386" s="17">
        <v>76.400000000000006</v>
      </c>
      <c r="R386" s="17">
        <f t="shared" si="16"/>
        <v>47.499999999999986</v>
      </c>
      <c r="S386" s="17">
        <v>65.2</v>
      </c>
      <c r="T386" s="17">
        <f t="shared" si="17"/>
        <v>39.799999999999997</v>
      </c>
    </row>
    <row r="387" spans="1:20" x14ac:dyDescent="0.35">
      <c r="A387" s="14" t="s">
        <v>62</v>
      </c>
      <c r="B387" s="15" t="s">
        <v>63</v>
      </c>
      <c r="C387" s="15" t="s">
        <v>64</v>
      </c>
      <c r="D387" s="15" t="s">
        <v>99</v>
      </c>
      <c r="E387" s="15" t="s">
        <v>90</v>
      </c>
      <c r="F387" s="15" t="s">
        <v>83</v>
      </c>
      <c r="G387" s="15" t="s">
        <v>84</v>
      </c>
      <c r="H387" s="15" t="s">
        <v>72</v>
      </c>
      <c r="I387" s="16">
        <v>9769</v>
      </c>
      <c r="J387" s="16">
        <v>7812</v>
      </c>
      <c r="K387" s="16">
        <v>9508</v>
      </c>
      <c r="L387" s="17">
        <v>270.60000000000002</v>
      </c>
      <c r="M387" s="17">
        <v>28.3</v>
      </c>
      <c r="N387" s="17">
        <f t="shared" si="15"/>
        <v>242.3</v>
      </c>
      <c r="O387" s="17">
        <v>182.5</v>
      </c>
      <c r="P387" s="17">
        <v>233.3</v>
      </c>
      <c r="Q387" s="17">
        <v>138.9</v>
      </c>
      <c r="R387" s="17">
        <f t="shared" si="16"/>
        <v>103.4</v>
      </c>
      <c r="S387" s="17">
        <v>106.8</v>
      </c>
      <c r="T387" s="17">
        <f t="shared" si="17"/>
        <v>75.7</v>
      </c>
    </row>
    <row r="388" spans="1:20" x14ac:dyDescent="0.35">
      <c r="A388" s="14" t="s">
        <v>62</v>
      </c>
      <c r="B388" s="15" t="s">
        <v>63</v>
      </c>
      <c r="C388" s="15" t="s">
        <v>64</v>
      </c>
      <c r="D388" s="15" t="s">
        <v>99</v>
      </c>
      <c r="E388" s="15" t="s">
        <v>91</v>
      </c>
      <c r="F388" s="15" t="s">
        <v>67</v>
      </c>
      <c r="G388" s="15" t="s">
        <v>68</v>
      </c>
      <c r="H388" s="15" t="s">
        <v>69</v>
      </c>
      <c r="I388" s="16">
        <v>59496</v>
      </c>
      <c r="J388" s="16">
        <v>53186</v>
      </c>
      <c r="K388" s="16">
        <v>58607</v>
      </c>
      <c r="L388" s="17">
        <v>310.5</v>
      </c>
      <c r="M388" s="17">
        <v>17.7</v>
      </c>
      <c r="N388" s="17">
        <f t="shared" ref="N388:N451" si="18">L388-M388</f>
        <v>292.8</v>
      </c>
      <c r="O388" s="17">
        <v>246.4</v>
      </c>
      <c r="P388" s="17">
        <v>283.5</v>
      </c>
      <c r="Q388" s="17">
        <v>164.8</v>
      </c>
      <c r="R388" s="17">
        <f t="shared" ref="R388:R451" si="19">N388-Q388</f>
        <v>128</v>
      </c>
      <c r="S388" s="17">
        <v>141.6</v>
      </c>
      <c r="T388" s="17">
        <f t="shared" ref="T388:T451" si="20">O388-S388</f>
        <v>104.80000000000001</v>
      </c>
    </row>
    <row r="389" spans="1:20" x14ac:dyDescent="0.35">
      <c r="A389" s="14" t="s">
        <v>62</v>
      </c>
      <c r="B389" s="15" t="s">
        <v>63</v>
      </c>
      <c r="C389" s="15" t="s">
        <v>64</v>
      </c>
      <c r="D389" s="15" t="s">
        <v>99</v>
      </c>
      <c r="E389" s="15" t="s">
        <v>91</v>
      </c>
      <c r="F389" s="15" t="s">
        <v>67</v>
      </c>
      <c r="G389" s="15" t="s">
        <v>68</v>
      </c>
      <c r="H389" s="15" t="s">
        <v>70</v>
      </c>
      <c r="I389" s="16">
        <v>29403</v>
      </c>
      <c r="J389" s="16">
        <v>25916</v>
      </c>
      <c r="K389" s="16">
        <v>29003</v>
      </c>
      <c r="L389" s="17">
        <v>179.8</v>
      </c>
      <c r="M389" s="17">
        <v>7.7</v>
      </c>
      <c r="N389" s="17">
        <f t="shared" si="18"/>
        <v>172.10000000000002</v>
      </c>
      <c r="O389" s="17">
        <v>144.1</v>
      </c>
      <c r="P389" s="17">
        <v>165.5</v>
      </c>
      <c r="Q389" s="17">
        <v>96.7</v>
      </c>
      <c r="R389" s="17">
        <f t="shared" si="19"/>
        <v>75.40000000000002</v>
      </c>
      <c r="S389" s="17">
        <v>83</v>
      </c>
      <c r="T389" s="17">
        <f t="shared" si="20"/>
        <v>61.099999999999994</v>
      </c>
    </row>
    <row r="390" spans="1:20" x14ac:dyDescent="0.35">
      <c r="A390" s="14" t="s">
        <v>62</v>
      </c>
      <c r="B390" s="15" t="s">
        <v>63</v>
      </c>
      <c r="C390" s="15" t="s">
        <v>64</v>
      </c>
      <c r="D390" s="15" t="s">
        <v>99</v>
      </c>
      <c r="E390" s="15" t="s">
        <v>91</v>
      </c>
      <c r="F390" s="15" t="s">
        <v>67</v>
      </c>
      <c r="G390" s="15" t="s">
        <v>68</v>
      </c>
      <c r="H390" s="15" t="s">
        <v>71</v>
      </c>
      <c r="I390" s="16">
        <v>54649</v>
      </c>
      <c r="J390" s="16">
        <v>49503</v>
      </c>
      <c r="K390" s="16">
        <v>53962</v>
      </c>
      <c r="L390" s="17">
        <v>417.2</v>
      </c>
      <c r="M390" s="17">
        <v>21.4</v>
      </c>
      <c r="N390" s="17">
        <f t="shared" si="18"/>
        <v>395.8</v>
      </c>
      <c r="O390" s="17">
        <v>337.3</v>
      </c>
      <c r="P390" s="17">
        <v>384.6</v>
      </c>
      <c r="Q390" s="17">
        <v>241.1</v>
      </c>
      <c r="R390" s="17">
        <f t="shared" si="19"/>
        <v>154.70000000000002</v>
      </c>
      <c r="S390" s="17">
        <v>208.3</v>
      </c>
      <c r="T390" s="17">
        <f t="shared" si="20"/>
        <v>129</v>
      </c>
    </row>
    <row r="391" spans="1:20" x14ac:dyDescent="0.35">
      <c r="A391" s="14" t="s">
        <v>62</v>
      </c>
      <c r="B391" s="15" t="s">
        <v>63</v>
      </c>
      <c r="C391" s="15" t="s">
        <v>64</v>
      </c>
      <c r="D391" s="15" t="s">
        <v>99</v>
      </c>
      <c r="E391" s="15" t="s">
        <v>91</v>
      </c>
      <c r="F391" s="15" t="s">
        <v>67</v>
      </c>
      <c r="G391" s="15" t="s">
        <v>68</v>
      </c>
      <c r="H391" s="15" t="s">
        <v>72</v>
      </c>
      <c r="I391" s="16">
        <v>27210</v>
      </c>
      <c r="J391" s="16">
        <v>24192</v>
      </c>
      <c r="K391" s="16">
        <v>26535</v>
      </c>
      <c r="L391" s="17">
        <v>289.10000000000002</v>
      </c>
      <c r="M391" s="17">
        <v>15.7</v>
      </c>
      <c r="N391" s="17">
        <f t="shared" si="18"/>
        <v>273.40000000000003</v>
      </c>
      <c r="O391" s="17">
        <v>228.6</v>
      </c>
      <c r="P391" s="17">
        <v>267.8</v>
      </c>
      <c r="Q391" s="17">
        <v>172.1</v>
      </c>
      <c r="R391" s="17">
        <f t="shared" si="19"/>
        <v>101.30000000000004</v>
      </c>
      <c r="S391" s="17">
        <v>147</v>
      </c>
      <c r="T391" s="17">
        <f t="shared" si="20"/>
        <v>81.599999999999994</v>
      </c>
    </row>
    <row r="392" spans="1:20" x14ac:dyDescent="0.35">
      <c r="A392" s="14" t="s">
        <v>62</v>
      </c>
      <c r="B392" s="15" t="s">
        <v>63</v>
      </c>
      <c r="C392" s="15" t="s">
        <v>64</v>
      </c>
      <c r="D392" s="15" t="s">
        <v>99</v>
      </c>
      <c r="E392" s="15" t="s">
        <v>91</v>
      </c>
      <c r="F392" s="15" t="s">
        <v>67</v>
      </c>
      <c r="G392" s="15" t="s">
        <v>73</v>
      </c>
      <c r="H392" s="15" t="s">
        <v>71</v>
      </c>
      <c r="I392" s="16">
        <v>14329</v>
      </c>
      <c r="J392" s="16">
        <v>11887</v>
      </c>
      <c r="K392" s="16">
        <v>13986</v>
      </c>
      <c r="L392" s="17">
        <v>111.1</v>
      </c>
      <c r="M392" s="17">
        <v>6.5</v>
      </c>
      <c r="N392" s="17">
        <f t="shared" si="18"/>
        <v>104.6</v>
      </c>
      <c r="O392" s="17">
        <v>82.4</v>
      </c>
      <c r="P392" s="17">
        <v>102.3</v>
      </c>
      <c r="Q392" s="17">
        <v>64.8</v>
      </c>
      <c r="R392" s="17">
        <f t="shared" si="19"/>
        <v>39.799999999999997</v>
      </c>
      <c r="S392" s="17">
        <v>52</v>
      </c>
      <c r="T392" s="17">
        <f t="shared" si="20"/>
        <v>30.400000000000006</v>
      </c>
    </row>
    <row r="393" spans="1:20" x14ac:dyDescent="0.35">
      <c r="A393" s="14" t="s">
        <v>62</v>
      </c>
      <c r="B393" s="15" t="s">
        <v>63</v>
      </c>
      <c r="C393" s="15" t="s">
        <v>64</v>
      </c>
      <c r="D393" s="15" t="s">
        <v>99</v>
      </c>
      <c r="E393" s="15" t="s">
        <v>91</v>
      </c>
      <c r="F393" s="15" t="s">
        <v>67</v>
      </c>
      <c r="G393" s="15" t="s">
        <v>73</v>
      </c>
      <c r="H393" s="15" t="s">
        <v>72</v>
      </c>
      <c r="I393" s="16">
        <v>8595</v>
      </c>
      <c r="J393" s="16">
        <v>6992</v>
      </c>
      <c r="K393" s="16">
        <v>8378</v>
      </c>
      <c r="L393" s="17">
        <v>89.3</v>
      </c>
      <c r="M393" s="17">
        <v>5.0999999999999996</v>
      </c>
      <c r="N393" s="17">
        <f t="shared" si="18"/>
        <v>84.2</v>
      </c>
      <c r="O393" s="17">
        <v>64.900000000000006</v>
      </c>
      <c r="P393" s="17">
        <v>81.7</v>
      </c>
      <c r="Q393" s="17">
        <v>53</v>
      </c>
      <c r="R393" s="17">
        <f t="shared" si="19"/>
        <v>31.200000000000003</v>
      </c>
      <c r="S393" s="17">
        <v>41.7</v>
      </c>
      <c r="T393" s="17">
        <f t="shared" si="20"/>
        <v>23.200000000000003</v>
      </c>
    </row>
    <row r="394" spans="1:20" x14ac:dyDescent="0.35">
      <c r="A394" s="14" t="s">
        <v>62</v>
      </c>
      <c r="B394" s="15" t="s">
        <v>63</v>
      </c>
      <c r="C394" s="15" t="s">
        <v>64</v>
      </c>
      <c r="D394" s="15" t="s">
        <v>99</v>
      </c>
      <c r="E394" s="15" t="s">
        <v>91</v>
      </c>
      <c r="F394" s="15" t="s">
        <v>67</v>
      </c>
      <c r="G394" s="15" t="s">
        <v>74</v>
      </c>
      <c r="H394" s="15" t="s">
        <v>70</v>
      </c>
      <c r="I394" s="16">
        <v>11651</v>
      </c>
      <c r="J394" s="16">
        <v>10180</v>
      </c>
      <c r="K394" s="16">
        <v>11341</v>
      </c>
      <c r="L394" s="17">
        <v>70.7</v>
      </c>
      <c r="M394" s="17">
        <v>4.0999999999999996</v>
      </c>
      <c r="N394" s="17">
        <f t="shared" si="18"/>
        <v>66.600000000000009</v>
      </c>
      <c r="O394" s="17">
        <v>54.5</v>
      </c>
      <c r="P394" s="17">
        <v>65</v>
      </c>
      <c r="Q394" s="17">
        <v>37</v>
      </c>
      <c r="R394" s="17">
        <f t="shared" si="19"/>
        <v>29.600000000000009</v>
      </c>
      <c r="S394" s="17">
        <v>30.7</v>
      </c>
      <c r="T394" s="17">
        <f t="shared" si="20"/>
        <v>23.8</v>
      </c>
    </row>
    <row r="395" spans="1:20" x14ac:dyDescent="0.35">
      <c r="A395" s="14" t="s">
        <v>62</v>
      </c>
      <c r="B395" s="15" t="s">
        <v>63</v>
      </c>
      <c r="C395" s="15" t="s">
        <v>64</v>
      </c>
      <c r="D395" s="15" t="s">
        <v>99</v>
      </c>
      <c r="E395" s="15" t="s">
        <v>91</v>
      </c>
      <c r="F395" s="15" t="s">
        <v>67</v>
      </c>
      <c r="G395" s="15" t="s">
        <v>74</v>
      </c>
      <c r="H395" s="15" t="s">
        <v>71</v>
      </c>
      <c r="I395" s="16">
        <v>22001</v>
      </c>
      <c r="J395" s="16">
        <v>19722</v>
      </c>
      <c r="K395" s="16">
        <v>21548</v>
      </c>
      <c r="L395" s="17">
        <v>166</v>
      </c>
      <c r="M395" s="17">
        <v>9.6</v>
      </c>
      <c r="N395" s="17">
        <f t="shared" si="18"/>
        <v>156.4</v>
      </c>
      <c r="O395" s="17">
        <v>131.4</v>
      </c>
      <c r="P395" s="17">
        <v>152</v>
      </c>
      <c r="Q395" s="17">
        <v>95</v>
      </c>
      <c r="R395" s="17">
        <f t="shared" si="19"/>
        <v>61.400000000000006</v>
      </c>
      <c r="S395" s="17">
        <v>81.7</v>
      </c>
      <c r="T395" s="17">
        <f t="shared" si="20"/>
        <v>49.7</v>
      </c>
    </row>
    <row r="396" spans="1:20" x14ac:dyDescent="0.35">
      <c r="A396" s="14" t="s">
        <v>62</v>
      </c>
      <c r="B396" s="15" t="s">
        <v>63</v>
      </c>
      <c r="C396" s="15" t="s">
        <v>64</v>
      </c>
      <c r="D396" s="15" t="s">
        <v>99</v>
      </c>
      <c r="E396" s="15" t="s">
        <v>91</v>
      </c>
      <c r="F396" s="15" t="s">
        <v>67</v>
      </c>
      <c r="G396" s="15" t="s">
        <v>75</v>
      </c>
      <c r="H396" s="15" t="s">
        <v>71</v>
      </c>
      <c r="I396" s="16">
        <v>15059</v>
      </c>
      <c r="J396" s="16">
        <v>13380</v>
      </c>
      <c r="K396" s="16">
        <v>14783</v>
      </c>
      <c r="L396" s="17">
        <v>116.2</v>
      </c>
      <c r="M396" s="17">
        <v>5.2</v>
      </c>
      <c r="N396" s="17">
        <f t="shared" si="18"/>
        <v>111</v>
      </c>
      <c r="O396" s="17">
        <v>93.9</v>
      </c>
      <c r="P396" s="17">
        <v>108.6</v>
      </c>
      <c r="Q396" s="17">
        <v>67.400000000000006</v>
      </c>
      <c r="R396" s="17">
        <f t="shared" si="19"/>
        <v>43.599999999999994</v>
      </c>
      <c r="S396" s="17">
        <v>58.2</v>
      </c>
      <c r="T396" s="17">
        <f t="shared" si="20"/>
        <v>35.700000000000003</v>
      </c>
    </row>
    <row r="397" spans="1:20" x14ac:dyDescent="0.35">
      <c r="A397" s="14" t="s">
        <v>62</v>
      </c>
      <c r="B397" s="15" t="s">
        <v>63</v>
      </c>
      <c r="C397" s="15" t="s">
        <v>64</v>
      </c>
      <c r="D397" s="15" t="s">
        <v>99</v>
      </c>
      <c r="E397" s="15" t="s">
        <v>91</v>
      </c>
      <c r="F397" s="15" t="s">
        <v>67</v>
      </c>
      <c r="G397" s="15" t="s">
        <v>76</v>
      </c>
      <c r="H397" s="15" t="s">
        <v>72</v>
      </c>
      <c r="I397" s="16">
        <v>20577</v>
      </c>
      <c r="J397" s="16">
        <v>17901</v>
      </c>
      <c r="K397" s="16">
        <v>20281</v>
      </c>
      <c r="L397" s="17">
        <v>256.2</v>
      </c>
      <c r="M397" s="17">
        <v>14.4</v>
      </c>
      <c r="N397" s="17">
        <f t="shared" si="18"/>
        <v>241.79999999999998</v>
      </c>
      <c r="O397" s="17">
        <v>197.5</v>
      </c>
      <c r="P397" s="17">
        <v>234.2</v>
      </c>
      <c r="Q397" s="17">
        <v>152.6</v>
      </c>
      <c r="R397" s="17">
        <f t="shared" si="19"/>
        <v>89.199999999999989</v>
      </c>
      <c r="S397" s="17">
        <v>127.4</v>
      </c>
      <c r="T397" s="17">
        <f t="shared" si="20"/>
        <v>70.099999999999994</v>
      </c>
    </row>
    <row r="398" spans="1:20" x14ac:dyDescent="0.35">
      <c r="A398" s="14" t="s">
        <v>62</v>
      </c>
      <c r="B398" s="15" t="s">
        <v>63</v>
      </c>
      <c r="C398" s="15" t="s">
        <v>64</v>
      </c>
      <c r="D398" s="15" t="s">
        <v>99</v>
      </c>
      <c r="E398" s="15" t="s">
        <v>91</v>
      </c>
      <c r="F398" s="15" t="s">
        <v>79</v>
      </c>
      <c r="G398" s="15" t="s">
        <v>80</v>
      </c>
      <c r="H398" s="15" t="s">
        <v>71</v>
      </c>
      <c r="I398" s="16">
        <v>17866</v>
      </c>
      <c r="J398" s="16">
        <v>15529</v>
      </c>
      <c r="K398" s="16">
        <v>17420</v>
      </c>
      <c r="L398" s="17">
        <v>86.5</v>
      </c>
      <c r="M398" s="17">
        <v>3.6</v>
      </c>
      <c r="N398" s="17">
        <f t="shared" si="18"/>
        <v>82.9</v>
      </c>
      <c r="O398" s="17">
        <v>67.7</v>
      </c>
      <c r="P398" s="17">
        <v>80.5</v>
      </c>
      <c r="Q398" s="17">
        <v>50.6</v>
      </c>
      <c r="R398" s="17">
        <f t="shared" si="19"/>
        <v>32.300000000000004</v>
      </c>
      <c r="S398" s="17">
        <v>41.6</v>
      </c>
      <c r="T398" s="17">
        <f t="shared" si="20"/>
        <v>26.1</v>
      </c>
    </row>
    <row r="399" spans="1:20" x14ac:dyDescent="0.35">
      <c r="A399" s="14" t="s">
        <v>62</v>
      </c>
      <c r="B399" s="15" t="s">
        <v>63</v>
      </c>
      <c r="C399" s="15" t="s">
        <v>64</v>
      </c>
      <c r="D399" s="15" t="s">
        <v>99</v>
      </c>
      <c r="E399" s="15" t="s">
        <v>91</v>
      </c>
      <c r="F399" s="15" t="s">
        <v>81</v>
      </c>
      <c r="G399" s="15" t="s">
        <v>82</v>
      </c>
      <c r="H399" s="15" t="s">
        <v>71</v>
      </c>
      <c r="I399" s="16">
        <v>5867</v>
      </c>
      <c r="J399" s="16">
        <v>4999</v>
      </c>
      <c r="K399" s="16">
        <v>5752</v>
      </c>
      <c r="L399" s="17">
        <v>58.7</v>
      </c>
      <c r="M399" s="17">
        <v>3.3</v>
      </c>
      <c r="N399" s="17">
        <f t="shared" si="18"/>
        <v>55.400000000000006</v>
      </c>
      <c r="O399" s="17">
        <v>44.5</v>
      </c>
      <c r="P399" s="17">
        <v>53.7</v>
      </c>
      <c r="Q399" s="17">
        <v>34.5</v>
      </c>
      <c r="R399" s="17">
        <f t="shared" si="19"/>
        <v>20.900000000000006</v>
      </c>
      <c r="S399" s="17">
        <v>28.1</v>
      </c>
      <c r="T399" s="17">
        <f t="shared" si="20"/>
        <v>16.399999999999999</v>
      </c>
    </row>
    <row r="400" spans="1:20" x14ac:dyDescent="0.35">
      <c r="A400" s="14" t="s">
        <v>62</v>
      </c>
      <c r="B400" s="15" t="s">
        <v>63</v>
      </c>
      <c r="C400" s="15" t="s">
        <v>64</v>
      </c>
      <c r="D400" s="15" t="s">
        <v>99</v>
      </c>
      <c r="E400" s="15" t="s">
        <v>91</v>
      </c>
      <c r="F400" s="15" t="s">
        <v>83</v>
      </c>
      <c r="G400" s="15" t="s">
        <v>84</v>
      </c>
      <c r="H400" s="15" t="s">
        <v>72</v>
      </c>
      <c r="I400" s="16">
        <v>5483</v>
      </c>
      <c r="J400" s="16">
        <v>4258</v>
      </c>
      <c r="K400" s="16">
        <v>5376</v>
      </c>
      <c r="L400" s="17">
        <v>176.3</v>
      </c>
      <c r="M400" s="17">
        <v>8.6999999999999993</v>
      </c>
      <c r="N400" s="17">
        <f t="shared" si="18"/>
        <v>167.60000000000002</v>
      </c>
      <c r="O400" s="17">
        <v>122.4</v>
      </c>
      <c r="P400" s="17">
        <v>162.5</v>
      </c>
      <c r="Q400" s="17">
        <v>98.8</v>
      </c>
      <c r="R400" s="17">
        <f t="shared" si="19"/>
        <v>68.800000000000026</v>
      </c>
      <c r="S400" s="17">
        <v>72.8</v>
      </c>
      <c r="T400" s="17">
        <f t="shared" si="20"/>
        <v>49.600000000000009</v>
      </c>
    </row>
    <row r="401" spans="1:20" x14ac:dyDescent="0.35">
      <c r="A401" s="14" t="s">
        <v>62</v>
      </c>
      <c r="B401" s="15" t="s">
        <v>63</v>
      </c>
      <c r="C401" s="15" t="s">
        <v>64</v>
      </c>
      <c r="D401" s="15" t="s">
        <v>99</v>
      </c>
      <c r="E401" s="15" t="s">
        <v>92</v>
      </c>
      <c r="F401" s="15" t="s">
        <v>67</v>
      </c>
      <c r="G401" s="15" t="s">
        <v>68</v>
      </c>
      <c r="H401" s="15" t="s">
        <v>69</v>
      </c>
      <c r="I401" s="16">
        <v>63572</v>
      </c>
      <c r="J401" s="16">
        <v>48901</v>
      </c>
      <c r="K401" s="16">
        <v>62070</v>
      </c>
      <c r="L401" s="17">
        <v>311.60000000000002</v>
      </c>
      <c r="M401" s="17">
        <v>22.7</v>
      </c>
      <c r="N401" s="17">
        <f t="shared" si="18"/>
        <v>288.90000000000003</v>
      </c>
      <c r="O401" s="17">
        <v>207.9</v>
      </c>
      <c r="P401" s="17">
        <v>279</v>
      </c>
      <c r="Q401" s="17">
        <v>161.6</v>
      </c>
      <c r="R401" s="17">
        <f t="shared" si="19"/>
        <v>127.30000000000004</v>
      </c>
      <c r="S401" s="17">
        <v>118.3</v>
      </c>
      <c r="T401" s="17">
        <f t="shared" si="20"/>
        <v>89.600000000000009</v>
      </c>
    </row>
    <row r="402" spans="1:20" x14ac:dyDescent="0.35">
      <c r="A402" s="14" t="s">
        <v>62</v>
      </c>
      <c r="B402" s="15" t="s">
        <v>63</v>
      </c>
      <c r="C402" s="15" t="s">
        <v>64</v>
      </c>
      <c r="D402" s="15" t="s">
        <v>99</v>
      </c>
      <c r="E402" s="15" t="s">
        <v>92</v>
      </c>
      <c r="F402" s="15" t="s">
        <v>67</v>
      </c>
      <c r="G402" s="15" t="s">
        <v>68</v>
      </c>
      <c r="H402" s="15" t="s">
        <v>70</v>
      </c>
      <c r="I402" s="16">
        <v>81868</v>
      </c>
      <c r="J402" s="16">
        <v>62631</v>
      </c>
      <c r="K402" s="16">
        <v>80492</v>
      </c>
      <c r="L402" s="17">
        <v>467.7</v>
      </c>
      <c r="M402" s="17">
        <v>39.4</v>
      </c>
      <c r="N402" s="17">
        <f t="shared" si="18"/>
        <v>428.3</v>
      </c>
      <c r="O402" s="17">
        <v>311.10000000000002</v>
      </c>
      <c r="P402" s="17">
        <v>413.4</v>
      </c>
      <c r="Q402" s="17">
        <v>241.7</v>
      </c>
      <c r="R402" s="17">
        <f t="shared" si="19"/>
        <v>186.60000000000002</v>
      </c>
      <c r="S402" s="17">
        <v>178.7</v>
      </c>
      <c r="T402" s="17">
        <f t="shared" si="20"/>
        <v>132.40000000000003</v>
      </c>
    </row>
    <row r="403" spans="1:20" x14ac:dyDescent="0.35">
      <c r="A403" s="14" t="s">
        <v>62</v>
      </c>
      <c r="B403" s="15" t="s">
        <v>63</v>
      </c>
      <c r="C403" s="15" t="s">
        <v>64</v>
      </c>
      <c r="D403" s="15" t="s">
        <v>99</v>
      </c>
      <c r="E403" s="15" t="s">
        <v>92</v>
      </c>
      <c r="F403" s="15" t="s">
        <v>67</v>
      </c>
      <c r="G403" s="15" t="s">
        <v>68</v>
      </c>
      <c r="H403" s="15" t="s">
        <v>71</v>
      </c>
      <c r="I403" s="16">
        <v>98079</v>
      </c>
      <c r="J403" s="16">
        <v>76294</v>
      </c>
      <c r="K403" s="16">
        <v>96306</v>
      </c>
      <c r="L403" s="17">
        <v>699.4</v>
      </c>
      <c r="M403" s="17">
        <v>52.2</v>
      </c>
      <c r="N403" s="17">
        <f t="shared" si="18"/>
        <v>647.19999999999993</v>
      </c>
      <c r="O403" s="17">
        <v>472.2</v>
      </c>
      <c r="P403" s="17">
        <v>628.70000000000005</v>
      </c>
      <c r="Q403" s="17">
        <v>398.2</v>
      </c>
      <c r="R403" s="17">
        <f t="shared" si="19"/>
        <v>248.99999999999994</v>
      </c>
      <c r="S403" s="17">
        <v>294.60000000000002</v>
      </c>
      <c r="T403" s="17">
        <f t="shared" si="20"/>
        <v>177.59999999999997</v>
      </c>
    </row>
    <row r="404" spans="1:20" x14ac:dyDescent="0.35">
      <c r="A404" s="14" t="s">
        <v>62</v>
      </c>
      <c r="B404" s="15" t="s">
        <v>63</v>
      </c>
      <c r="C404" s="15" t="s">
        <v>64</v>
      </c>
      <c r="D404" s="15" t="s">
        <v>99</v>
      </c>
      <c r="E404" s="15" t="s">
        <v>92</v>
      </c>
      <c r="F404" s="15" t="s">
        <v>67</v>
      </c>
      <c r="G404" s="15" t="s">
        <v>68</v>
      </c>
      <c r="H404" s="15" t="s">
        <v>72</v>
      </c>
      <c r="I404" s="16">
        <v>26357</v>
      </c>
      <c r="J404" s="16">
        <v>19891</v>
      </c>
      <c r="K404" s="16">
        <v>26026</v>
      </c>
      <c r="L404" s="17">
        <v>260.3</v>
      </c>
      <c r="M404" s="17">
        <v>22.2</v>
      </c>
      <c r="N404" s="17">
        <f t="shared" si="18"/>
        <v>238.10000000000002</v>
      </c>
      <c r="O404" s="17">
        <v>168</v>
      </c>
      <c r="P404" s="17">
        <v>231.6</v>
      </c>
      <c r="Q404" s="17">
        <v>153.6</v>
      </c>
      <c r="R404" s="17">
        <f t="shared" si="19"/>
        <v>84.500000000000028</v>
      </c>
      <c r="S404" s="17">
        <v>110.9</v>
      </c>
      <c r="T404" s="17">
        <f t="shared" si="20"/>
        <v>57.099999999999994</v>
      </c>
    </row>
    <row r="405" spans="1:20" x14ac:dyDescent="0.35">
      <c r="A405" s="14" t="s">
        <v>62</v>
      </c>
      <c r="B405" s="15" t="s">
        <v>63</v>
      </c>
      <c r="C405" s="15" t="s">
        <v>64</v>
      </c>
      <c r="D405" s="15" t="s">
        <v>99</v>
      </c>
      <c r="E405" s="15" t="s">
        <v>92</v>
      </c>
      <c r="F405" s="15" t="s">
        <v>67</v>
      </c>
      <c r="G405" s="15" t="s">
        <v>73</v>
      </c>
      <c r="H405" s="15" t="s">
        <v>71</v>
      </c>
      <c r="I405" s="16">
        <v>27137</v>
      </c>
      <c r="J405" s="16">
        <v>19359</v>
      </c>
      <c r="K405" s="16">
        <v>26812</v>
      </c>
      <c r="L405" s="17">
        <v>194.5</v>
      </c>
      <c r="M405" s="17">
        <v>13.7</v>
      </c>
      <c r="N405" s="17">
        <f t="shared" si="18"/>
        <v>180.8</v>
      </c>
      <c r="O405" s="17">
        <v>122.1</v>
      </c>
      <c r="P405" s="17">
        <v>175.8</v>
      </c>
      <c r="Q405" s="17">
        <v>112.2</v>
      </c>
      <c r="R405" s="17">
        <f t="shared" si="19"/>
        <v>68.600000000000009</v>
      </c>
      <c r="S405" s="17">
        <v>76.7</v>
      </c>
      <c r="T405" s="17">
        <f t="shared" si="20"/>
        <v>45.399999999999991</v>
      </c>
    </row>
    <row r="406" spans="1:20" x14ac:dyDescent="0.35">
      <c r="A406" s="14" t="s">
        <v>62</v>
      </c>
      <c r="B406" s="15" t="s">
        <v>63</v>
      </c>
      <c r="C406" s="15" t="s">
        <v>64</v>
      </c>
      <c r="D406" s="15" t="s">
        <v>99</v>
      </c>
      <c r="E406" s="15" t="s">
        <v>92</v>
      </c>
      <c r="F406" s="15" t="s">
        <v>67</v>
      </c>
      <c r="G406" s="15" t="s">
        <v>73</v>
      </c>
      <c r="H406" s="15" t="s">
        <v>72</v>
      </c>
      <c r="I406" s="16">
        <v>8276</v>
      </c>
      <c r="J406" s="16">
        <v>5879</v>
      </c>
      <c r="K406" s="16">
        <v>8123</v>
      </c>
      <c r="L406" s="17">
        <v>77.7</v>
      </c>
      <c r="M406" s="17">
        <v>6.1</v>
      </c>
      <c r="N406" s="17">
        <f t="shared" si="18"/>
        <v>71.600000000000009</v>
      </c>
      <c r="O406" s="17">
        <v>47.7</v>
      </c>
      <c r="P406" s="17">
        <v>70.099999999999994</v>
      </c>
      <c r="Q406" s="17">
        <v>45</v>
      </c>
      <c r="R406" s="17">
        <f t="shared" si="19"/>
        <v>26.600000000000009</v>
      </c>
      <c r="S406" s="17">
        <v>30.2</v>
      </c>
      <c r="T406" s="17">
        <f t="shared" si="20"/>
        <v>17.500000000000004</v>
      </c>
    </row>
    <row r="407" spans="1:20" x14ac:dyDescent="0.35">
      <c r="A407" s="14" t="s">
        <v>62</v>
      </c>
      <c r="B407" s="15" t="s">
        <v>63</v>
      </c>
      <c r="C407" s="15" t="s">
        <v>64</v>
      </c>
      <c r="D407" s="15" t="s">
        <v>99</v>
      </c>
      <c r="E407" s="15" t="s">
        <v>92</v>
      </c>
      <c r="F407" s="15" t="s">
        <v>67</v>
      </c>
      <c r="G407" s="15" t="s">
        <v>74</v>
      </c>
      <c r="H407" s="15" t="s">
        <v>70</v>
      </c>
      <c r="I407" s="16">
        <v>40138</v>
      </c>
      <c r="J407" s="16">
        <v>30324</v>
      </c>
      <c r="K407" s="16">
        <v>39571</v>
      </c>
      <c r="L407" s="17">
        <v>221</v>
      </c>
      <c r="M407" s="17">
        <v>18.3</v>
      </c>
      <c r="N407" s="17">
        <f t="shared" si="18"/>
        <v>202.7</v>
      </c>
      <c r="O407" s="17">
        <v>144.19999999999999</v>
      </c>
      <c r="P407" s="17">
        <v>196.5</v>
      </c>
      <c r="Q407" s="17">
        <v>114.4</v>
      </c>
      <c r="R407" s="17">
        <f t="shared" si="19"/>
        <v>88.299999999999983</v>
      </c>
      <c r="S407" s="17">
        <v>83.1</v>
      </c>
      <c r="T407" s="17">
        <f t="shared" si="20"/>
        <v>61.099999999999994</v>
      </c>
    </row>
    <row r="408" spans="1:20" x14ac:dyDescent="0.35">
      <c r="A408" s="14" t="s">
        <v>62</v>
      </c>
      <c r="B408" s="15" t="s">
        <v>63</v>
      </c>
      <c r="C408" s="15" t="s">
        <v>64</v>
      </c>
      <c r="D408" s="15" t="s">
        <v>99</v>
      </c>
      <c r="E408" s="15" t="s">
        <v>92</v>
      </c>
      <c r="F408" s="15" t="s">
        <v>67</v>
      </c>
      <c r="G408" s="15" t="s">
        <v>74</v>
      </c>
      <c r="H408" s="15" t="s">
        <v>71</v>
      </c>
      <c r="I408" s="16">
        <v>42906</v>
      </c>
      <c r="J408" s="16">
        <v>33059</v>
      </c>
      <c r="K408" s="16">
        <v>41872</v>
      </c>
      <c r="L408" s="17">
        <v>307.60000000000002</v>
      </c>
      <c r="M408" s="17">
        <v>27.6</v>
      </c>
      <c r="N408" s="17">
        <f t="shared" si="18"/>
        <v>280</v>
      </c>
      <c r="O408" s="17">
        <v>203</v>
      </c>
      <c r="P408" s="17">
        <v>271.5</v>
      </c>
      <c r="Q408" s="17">
        <v>173.1</v>
      </c>
      <c r="R408" s="17">
        <f t="shared" si="19"/>
        <v>106.9</v>
      </c>
      <c r="S408" s="17">
        <v>127.9</v>
      </c>
      <c r="T408" s="17">
        <f t="shared" si="20"/>
        <v>75.099999999999994</v>
      </c>
    </row>
    <row r="409" spans="1:20" x14ac:dyDescent="0.35">
      <c r="A409" s="14" t="s">
        <v>62</v>
      </c>
      <c r="B409" s="15" t="s">
        <v>63</v>
      </c>
      <c r="C409" s="15" t="s">
        <v>64</v>
      </c>
      <c r="D409" s="15" t="s">
        <v>99</v>
      </c>
      <c r="E409" s="15" t="s">
        <v>92</v>
      </c>
      <c r="F409" s="15" t="s">
        <v>67</v>
      </c>
      <c r="G409" s="15" t="s">
        <v>75</v>
      </c>
      <c r="H409" s="15" t="s">
        <v>71</v>
      </c>
      <c r="I409" s="16">
        <v>30280</v>
      </c>
      <c r="J409" s="16">
        <v>22861</v>
      </c>
      <c r="K409" s="16">
        <v>29663</v>
      </c>
      <c r="L409" s="17">
        <v>211.4</v>
      </c>
      <c r="M409" s="17">
        <v>17.600000000000001</v>
      </c>
      <c r="N409" s="17">
        <f t="shared" si="18"/>
        <v>193.8</v>
      </c>
      <c r="O409" s="17">
        <v>138.4</v>
      </c>
      <c r="P409" s="17">
        <v>187.7</v>
      </c>
      <c r="Q409" s="17">
        <v>120.1</v>
      </c>
      <c r="R409" s="17">
        <f t="shared" si="19"/>
        <v>73.700000000000017</v>
      </c>
      <c r="S409" s="17">
        <v>87.7</v>
      </c>
      <c r="T409" s="17">
        <f t="shared" si="20"/>
        <v>50.7</v>
      </c>
    </row>
    <row r="410" spans="1:20" x14ac:dyDescent="0.35">
      <c r="A410" s="14" t="s">
        <v>62</v>
      </c>
      <c r="B410" s="15" t="s">
        <v>63</v>
      </c>
      <c r="C410" s="15" t="s">
        <v>64</v>
      </c>
      <c r="D410" s="15" t="s">
        <v>99</v>
      </c>
      <c r="E410" s="15" t="s">
        <v>92</v>
      </c>
      <c r="F410" s="15" t="s">
        <v>67</v>
      </c>
      <c r="G410" s="15" t="s">
        <v>76</v>
      </c>
      <c r="H410" s="15" t="s">
        <v>72</v>
      </c>
      <c r="I410" s="16">
        <v>5541</v>
      </c>
      <c r="J410" s="16">
        <v>4149</v>
      </c>
      <c r="K410" s="16">
        <v>5413</v>
      </c>
      <c r="L410" s="17">
        <v>63.6</v>
      </c>
      <c r="M410" s="17">
        <v>4.5999999999999996</v>
      </c>
      <c r="N410" s="17">
        <f t="shared" si="18"/>
        <v>59</v>
      </c>
      <c r="O410" s="17">
        <v>41.4</v>
      </c>
      <c r="P410" s="17">
        <v>57.5</v>
      </c>
      <c r="Q410" s="17">
        <v>36.9</v>
      </c>
      <c r="R410" s="17">
        <f t="shared" si="19"/>
        <v>22.1</v>
      </c>
      <c r="S410" s="17">
        <v>26.1</v>
      </c>
      <c r="T410" s="17">
        <f t="shared" si="20"/>
        <v>15.299999999999997</v>
      </c>
    </row>
    <row r="411" spans="1:20" x14ac:dyDescent="0.35">
      <c r="A411" s="14" t="s">
        <v>62</v>
      </c>
      <c r="B411" s="15" t="s">
        <v>63</v>
      </c>
      <c r="C411" s="15" t="s">
        <v>64</v>
      </c>
      <c r="D411" s="15" t="s">
        <v>99</v>
      </c>
      <c r="E411" s="15" t="s">
        <v>92</v>
      </c>
      <c r="F411" s="15" t="s">
        <v>79</v>
      </c>
      <c r="G411" s="15" t="s">
        <v>80</v>
      </c>
      <c r="H411" s="15" t="s">
        <v>71</v>
      </c>
      <c r="I411" s="16">
        <v>28981</v>
      </c>
      <c r="J411" s="16">
        <v>21948</v>
      </c>
      <c r="K411" s="16">
        <v>28463</v>
      </c>
      <c r="L411" s="17">
        <v>129.4</v>
      </c>
      <c r="M411" s="17">
        <v>9.8000000000000007</v>
      </c>
      <c r="N411" s="17">
        <f t="shared" si="18"/>
        <v>119.60000000000001</v>
      </c>
      <c r="O411" s="17">
        <v>84.7</v>
      </c>
      <c r="P411" s="17">
        <v>115.6</v>
      </c>
      <c r="Q411" s="17">
        <v>70.5</v>
      </c>
      <c r="R411" s="17">
        <f t="shared" si="19"/>
        <v>49.100000000000009</v>
      </c>
      <c r="S411" s="17">
        <v>50.3</v>
      </c>
      <c r="T411" s="17">
        <f t="shared" si="20"/>
        <v>34.400000000000006</v>
      </c>
    </row>
    <row r="412" spans="1:20" x14ac:dyDescent="0.35">
      <c r="A412" s="14" t="s">
        <v>62</v>
      </c>
      <c r="B412" s="15" t="s">
        <v>63</v>
      </c>
      <c r="C412" s="15" t="s">
        <v>64</v>
      </c>
      <c r="D412" s="15" t="s">
        <v>99</v>
      </c>
      <c r="E412" s="15" t="s">
        <v>92</v>
      </c>
      <c r="F412" s="15" t="s">
        <v>81</v>
      </c>
      <c r="G412" s="15" t="s">
        <v>82</v>
      </c>
      <c r="H412" s="15" t="s">
        <v>71</v>
      </c>
      <c r="I412" s="16">
        <v>10214</v>
      </c>
      <c r="J412" s="16">
        <v>7579</v>
      </c>
      <c r="K412" s="16">
        <v>9960</v>
      </c>
      <c r="L412" s="17">
        <v>94.3</v>
      </c>
      <c r="M412" s="17">
        <v>8</v>
      </c>
      <c r="N412" s="17">
        <f t="shared" si="18"/>
        <v>86.3</v>
      </c>
      <c r="O412" s="17">
        <v>60.8</v>
      </c>
      <c r="P412" s="17">
        <v>83.5</v>
      </c>
      <c r="Q412" s="17">
        <v>52.7</v>
      </c>
      <c r="R412" s="17">
        <f t="shared" si="19"/>
        <v>33.599999999999994</v>
      </c>
      <c r="S412" s="17">
        <v>37.6</v>
      </c>
      <c r="T412" s="17">
        <f t="shared" si="20"/>
        <v>23.199999999999996</v>
      </c>
    </row>
    <row r="413" spans="1:20" x14ac:dyDescent="0.35">
      <c r="A413" s="14" t="s">
        <v>62</v>
      </c>
      <c r="B413" s="15" t="s">
        <v>63</v>
      </c>
      <c r="C413" s="15" t="s">
        <v>64</v>
      </c>
      <c r="D413" s="15" t="s">
        <v>99</v>
      </c>
      <c r="E413" s="15" t="s">
        <v>92</v>
      </c>
      <c r="F413" s="15" t="s">
        <v>83</v>
      </c>
      <c r="G413" s="15" t="s">
        <v>84</v>
      </c>
      <c r="H413" s="15" t="s">
        <v>72</v>
      </c>
      <c r="I413" s="16">
        <v>4959</v>
      </c>
      <c r="J413" s="16">
        <v>3377</v>
      </c>
      <c r="K413" s="16">
        <v>4833</v>
      </c>
      <c r="L413" s="17">
        <v>141.69999999999999</v>
      </c>
      <c r="M413" s="17">
        <v>12.4</v>
      </c>
      <c r="N413" s="17">
        <f t="shared" si="18"/>
        <v>129.29999999999998</v>
      </c>
      <c r="O413" s="17">
        <v>82.9</v>
      </c>
      <c r="P413" s="17">
        <v>125.4</v>
      </c>
      <c r="Q413" s="17">
        <v>73.8</v>
      </c>
      <c r="R413" s="17">
        <f t="shared" si="19"/>
        <v>55.499999999999986</v>
      </c>
      <c r="S413" s="17">
        <v>47.8</v>
      </c>
      <c r="T413" s="17">
        <f t="shared" si="20"/>
        <v>35.100000000000009</v>
      </c>
    </row>
    <row r="414" spans="1:20" x14ac:dyDescent="0.35">
      <c r="A414" s="14" t="s">
        <v>62</v>
      </c>
      <c r="B414" s="15" t="s">
        <v>63</v>
      </c>
      <c r="C414" s="15" t="s">
        <v>64</v>
      </c>
      <c r="D414" s="15" t="s">
        <v>100</v>
      </c>
      <c r="E414" s="15" t="s">
        <v>66</v>
      </c>
      <c r="F414" s="15" t="s">
        <v>67</v>
      </c>
      <c r="G414" s="15" t="s">
        <v>68</v>
      </c>
      <c r="H414" s="15" t="s">
        <v>69</v>
      </c>
      <c r="I414" s="16">
        <v>16351</v>
      </c>
      <c r="J414" s="16">
        <v>15406</v>
      </c>
      <c r="K414" s="16">
        <v>16178</v>
      </c>
      <c r="L414" s="17">
        <v>101.9</v>
      </c>
      <c r="M414" s="17">
        <v>13.4</v>
      </c>
      <c r="N414" s="17">
        <f t="shared" si="18"/>
        <v>88.5</v>
      </c>
      <c r="O414" s="17">
        <v>79.8</v>
      </c>
      <c r="P414" s="17">
        <v>85.8</v>
      </c>
      <c r="Q414" s="17">
        <v>47.7</v>
      </c>
      <c r="R414" s="17">
        <f t="shared" si="19"/>
        <v>40.799999999999997</v>
      </c>
      <c r="S414" s="17">
        <v>44.1</v>
      </c>
      <c r="T414" s="17">
        <f t="shared" si="20"/>
        <v>35.699999999999996</v>
      </c>
    </row>
    <row r="415" spans="1:20" x14ac:dyDescent="0.35">
      <c r="A415" s="14" t="s">
        <v>62</v>
      </c>
      <c r="B415" s="15" t="s">
        <v>63</v>
      </c>
      <c r="C415" s="15" t="s">
        <v>64</v>
      </c>
      <c r="D415" s="15" t="s">
        <v>100</v>
      </c>
      <c r="E415" s="15" t="s">
        <v>66</v>
      </c>
      <c r="F415" s="15" t="s">
        <v>67</v>
      </c>
      <c r="G415" s="15" t="s">
        <v>68</v>
      </c>
      <c r="H415" s="15" t="s">
        <v>70</v>
      </c>
      <c r="I415" s="16">
        <v>38376</v>
      </c>
      <c r="J415" s="16">
        <v>35215</v>
      </c>
      <c r="K415" s="16">
        <v>37518</v>
      </c>
      <c r="L415" s="17">
        <v>279.8</v>
      </c>
      <c r="M415" s="17">
        <v>38</v>
      </c>
      <c r="N415" s="17">
        <f t="shared" si="18"/>
        <v>241.8</v>
      </c>
      <c r="O415" s="17">
        <v>211.4</v>
      </c>
      <c r="P415" s="17">
        <v>237.6</v>
      </c>
      <c r="Q415" s="17">
        <v>137.80000000000001</v>
      </c>
      <c r="R415" s="17">
        <f t="shared" si="19"/>
        <v>104</v>
      </c>
      <c r="S415" s="17">
        <v>121.4</v>
      </c>
      <c r="T415" s="17">
        <f t="shared" si="20"/>
        <v>90</v>
      </c>
    </row>
    <row r="416" spans="1:20" x14ac:dyDescent="0.35">
      <c r="A416" s="14" t="s">
        <v>62</v>
      </c>
      <c r="B416" s="15" t="s">
        <v>63</v>
      </c>
      <c r="C416" s="15" t="s">
        <v>64</v>
      </c>
      <c r="D416" s="15" t="s">
        <v>100</v>
      </c>
      <c r="E416" s="15" t="s">
        <v>66</v>
      </c>
      <c r="F416" s="15" t="s">
        <v>67</v>
      </c>
      <c r="G416" s="15" t="s">
        <v>68</v>
      </c>
      <c r="H416" s="15" t="s">
        <v>71</v>
      </c>
      <c r="I416" s="16">
        <v>93606</v>
      </c>
      <c r="J416" s="16">
        <v>86771</v>
      </c>
      <c r="K416" s="16">
        <v>92333</v>
      </c>
      <c r="L416" s="17">
        <v>870.3</v>
      </c>
      <c r="M416" s="17">
        <v>122.2</v>
      </c>
      <c r="N416" s="17">
        <f t="shared" si="18"/>
        <v>748.09999999999991</v>
      </c>
      <c r="O416" s="17">
        <v>666</v>
      </c>
      <c r="P416" s="17">
        <v>724.7</v>
      </c>
      <c r="Q416" s="17">
        <v>457.1</v>
      </c>
      <c r="R416" s="17">
        <f t="shared" si="19"/>
        <v>290.99999999999989</v>
      </c>
      <c r="S416" s="17">
        <v>413.8</v>
      </c>
      <c r="T416" s="17">
        <f t="shared" si="20"/>
        <v>252.2</v>
      </c>
    </row>
    <row r="417" spans="1:20" x14ac:dyDescent="0.35">
      <c r="A417" s="14" t="s">
        <v>62</v>
      </c>
      <c r="B417" s="15" t="s">
        <v>63</v>
      </c>
      <c r="C417" s="15" t="s">
        <v>64</v>
      </c>
      <c r="D417" s="15" t="s">
        <v>100</v>
      </c>
      <c r="E417" s="15" t="s">
        <v>66</v>
      </c>
      <c r="F417" s="15" t="s">
        <v>67</v>
      </c>
      <c r="G417" s="15" t="s">
        <v>68</v>
      </c>
      <c r="H417" s="15" t="s">
        <v>72</v>
      </c>
      <c r="I417" s="16">
        <v>33734</v>
      </c>
      <c r="J417" s="16">
        <v>30826</v>
      </c>
      <c r="K417" s="16">
        <v>33103</v>
      </c>
      <c r="L417" s="17">
        <v>428.1</v>
      </c>
      <c r="M417" s="17">
        <v>63</v>
      </c>
      <c r="N417" s="17">
        <f t="shared" si="18"/>
        <v>365.1</v>
      </c>
      <c r="O417" s="17">
        <v>318.8</v>
      </c>
      <c r="P417" s="17">
        <v>354.8</v>
      </c>
      <c r="Q417" s="17">
        <v>238.1</v>
      </c>
      <c r="R417" s="17">
        <f t="shared" si="19"/>
        <v>127.00000000000003</v>
      </c>
      <c r="S417" s="17">
        <v>209.9</v>
      </c>
      <c r="T417" s="17">
        <f t="shared" si="20"/>
        <v>108.9</v>
      </c>
    </row>
    <row r="418" spans="1:20" x14ac:dyDescent="0.35">
      <c r="A418" s="14" t="s">
        <v>62</v>
      </c>
      <c r="B418" s="15" t="s">
        <v>63</v>
      </c>
      <c r="C418" s="15" t="s">
        <v>64</v>
      </c>
      <c r="D418" s="15" t="s">
        <v>100</v>
      </c>
      <c r="E418" s="15" t="s">
        <v>66</v>
      </c>
      <c r="F418" s="15" t="s">
        <v>67</v>
      </c>
      <c r="G418" s="15" t="s">
        <v>73</v>
      </c>
      <c r="H418" s="15" t="s">
        <v>71</v>
      </c>
      <c r="I418" s="16">
        <v>21180</v>
      </c>
      <c r="J418" s="16">
        <v>18199</v>
      </c>
      <c r="K418" s="16">
        <v>20830</v>
      </c>
      <c r="L418" s="17">
        <v>196.7</v>
      </c>
      <c r="M418" s="17">
        <v>26</v>
      </c>
      <c r="N418" s="17">
        <f t="shared" si="18"/>
        <v>170.7</v>
      </c>
      <c r="O418" s="17">
        <v>140.30000000000001</v>
      </c>
      <c r="P418" s="17">
        <v>166.8</v>
      </c>
      <c r="Q418" s="17">
        <v>103.8</v>
      </c>
      <c r="R418" s="17">
        <f t="shared" si="19"/>
        <v>66.899999999999991</v>
      </c>
      <c r="S418" s="17">
        <v>87.2</v>
      </c>
      <c r="T418" s="17">
        <f t="shared" si="20"/>
        <v>53.100000000000009</v>
      </c>
    </row>
    <row r="419" spans="1:20" x14ac:dyDescent="0.35">
      <c r="A419" s="14" t="s">
        <v>62</v>
      </c>
      <c r="B419" s="15" t="s">
        <v>63</v>
      </c>
      <c r="C419" s="15" t="s">
        <v>64</v>
      </c>
      <c r="D419" s="15" t="s">
        <v>100</v>
      </c>
      <c r="E419" s="15" t="s">
        <v>66</v>
      </c>
      <c r="F419" s="15" t="s">
        <v>67</v>
      </c>
      <c r="G419" s="15" t="s">
        <v>73</v>
      </c>
      <c r="H419" s="15" t="s">
        <v>72</v>
      </c>
      <c r="I419" s="16">
        <v>10654</v>
      </c>
      <c r="J419" s="16">
        <v>8939</v>
      </c>
      <c r="K419" s="16">
        <v>10569</v>
      </c>
      <c r="L419" s="17">
        <v>134.5</v>
      </c>
      <c r="M419" s="17">
        <v>19.3</v>
      </c>
      <c r="N419" s="17">
        <f t="shared" si="18"/>
        <v>115.2</v>
      </c>
      <c r="O419" s="17">
        <v>92.7</v>
      </c>
      <c r="P419" s="17">
        <v>112.2</v>
      </c>
      <c r="Q419" s="17">
        <v>72.5</v>
      </c>
      <c r="R419" s="17">
        <f t="shared" si="19"/>
        <v>42.7</v>
      </c>
      <c r="S419" s="17">
        <v>58.7</v>
      </c>
      <c r="T419" s="17">
        <f t="shared" si="20"/>
        <v>34</v>
      </c>
    </row>
    <row r="420" spans="1:20" x14ac:dyDescent="0.35">
      <c r="A420" s="14" t="s">
        <v>62</v>
      </c>
      <c r="B420" s="15" t="s">
        <v>63</v>
      </c>
      <c r="C420" s="15" t="s">
        <v>64</v>
      </c>
      <c r="D420" s="15" t="s">
        <v>100</v>
      </c>
      <c r="E420" s="15" t="s">
        <v>66</v>
      </c>
      <c r="F420" s="15" t="s">
        <v>67</v>
      </c>
      <c r="G420" s="15" t="s">
        <v>74</v>
      </c>
      <c r="H420" s="15" t="s">
        <v>70</v>
      </c>
      <c r="I420" s="16">
        <v>18517</v>
      </c>
      <c r="J420" s="16">
        <v>17127</v>
      </c>
      <c r="K420" s="16">
        <v>18326</v>
      </c>
      <c r="L420" s="17">
        <v>130.80000000000001</v>
      </c>
      <c r="M420" s="17">
        <v>17.8</v>
      </c>
      <c r="N420" s="17">
        <f t="shared" si="18"/>
        <v>113.00000000000001</v>
      </c>
      <c r="O420" s="17">
        <v>99.4</v>
      </c>
      <c r="P420" s="17">
        <v>110.9</v>
      </c>
      <c r="Q420" s="17">
        <v>63</v>
      </c>
      <c r="R420" s="17">
        <f t="shared" si="19"/>
        <v>50.000000000000014</v>
      </c>
      <c r="S420" s="17">
        <v>55.9</v>
      </c>
      <c r="T420" s="17">
        <f t="shared" si="20"/>
        <v>43.500000000000007</v>
      </c>
    </row>
    <row r="421" spans="1:20" x14ac:dyDescent="0.35">
      <c r="A421" s="14" t="s">
        <v>62</v>
      </c>
      <c r="B421" s="15" t="s">
        <v>63</v>
      </c>
      <c r="C421" s="15" t="s">
        <v>64</v>
      </c>
      <c r="D421" s="15" t="s">
        <v>100</v>
      </c>
      <c r="E421" s="15" t="s">
        <v>66</v>
      </c>
      <c r="F421" s="15" t="s">
        <v>67</v>
      </c>
      <c r="G421" s="15" t="s">
        <v>74</v>
      </c>
      <c r="H421" s="15" t="s">
        <v>71</v>
      </c>
      <c r="I421" s="16">
        <v>35461</v>
      </c>
      <c r="J421" s="16">
        <v>33082</v>
      </c>
      <c r="K421" s="16">
        <v>35129</v>
      </c>
      <c r="L421" s="17">
        <v>321.8</v>
      </c>
      <c r="M421" s="17">
        <v>42.8</v>
      </c>
      <c r="N421" s="17">
        <f t="shared" si="18"/>
        <v>279</v>
      </c>
      <c r="O421" s="17">
        <v>250.9</v>
      </c>
      <c r="P421" s="17">
        <v>270.7</v>
      </c>
      <c r="Q421" s="17">
        <v>170.2</v>
      </c>
      <c r="R421" s="17">
        <f t="shared" si="19"/>
        <v>108.80000000000001</v>
      </c>
      <c r="S421" s="17">
        <v>156.19999999999999</v>
      </c>
      <c r="T421" s="17">
        <f t="shared" si="20"/>
        <v>94.700000000000017</v>
      </c>
    </row>
    <row r="422" spans="1:20" x14ac:dyDescent="0.35">
      <c r="A422" s="14" t="s">
        <v>62</v>
      </c>
      <c r="B422" s="15" t="s">
        <v>63</v>
      </c>
      <c r="C422" s="15" t="s">
        <v>64</v>
      </c>
      <c r="D422" s="15" t="s">
        <v>100</v>
      </c>
      <c r="E422" s="15" t="s">
        <v>66</v>
      </c>
      <c r="F422" s="15" t="s">
        <v>67</v>
      </c>
      <c r="G422" s="15" t="s">
        <v>75</v>
      </c>
      <c r="H422" s="15" t="s">
        <v>71</v>
      </c>
      <c r="I422" s="16">
        <v>25636</v>
      </c>
      <c r="J422" s="16">
        <v>24110</v>
      </c>
      <c r="K422" s="16">
        <v>25394</v>
      </c>
      <c r="L422" s="17">
        <v>232.5</v>
      </c>
      <c r="M422" s="17">
        <v>31.2</v>
      </c>
      <c r="N422" s="17">
        <f t="shared" si="18"/>
        <v>201.3</v>
      </c>
      <c r="O422" s="17">
        <v>180.2</v>
      </c>
      <c r="P422" s="17">
        <v>195.1</v>
      </c>
      <c r="Q422" s="17">
        <v>124.5</v>
      </c>
      <c r="R422" s="17">
        <f t="shared" si="19"/>
        <v>76.800000000000011</v>
      </c>
      <c r="S422" s="17">
        <v>112.4</v>
      </c>
      <c r="T422" s="17">
        <f t="shared" si="20"/>
        <v>67.799999999999983</v>
      </c>
    </row>
    <row r="423" spans="1:20" x14ac:dyDescent="0.35">
      <c r="A423" s="14" t="s">
        <v>62</v>
      </c>
      <c r="B423" s="15" t="s">
        <v>63</v>
      </c>
      <c r="C423" s="15" t="s">
        <v>64</v>
      </c>
      <c r="D423" s="15" t="s">
        <v>100</v>
      </c>
      <c r="E423" s="15" t="s">
        <v>66</v>
      </c>
      <c r="F423" s="15" t="s">
        <v>67</v>
      </c>
      <c r="G423" s="15" t="s">
        <v>76</v>
      </c>
      <c r="H423" s="15" t="s">
        <v>72</v>
      </c>
      <c r="I423" s="16">
        <v>7346</v>
      </c>
      <c r="J423" s="16">
        <v>6617</v>
      </c>
      <c r="K423" s="16">
        <v>7188</v>
      </c>
      <c r="L423" s="17">
        <v>113.3</v>
      </c>
      <c r="M423" s="17">
        <v>14.9</v>
      </c>
      <c r="N423" s="17">
        <f t="shared" si="18"/>
        <v>98.399999999999991</v>
      </c>
      <c r="O423" s="17">
        <v>84.9</v>
      </c>
      <c r="P423" s="17">
        <v>96.1</v>
      </c>
      <c r="Q423" s="17">
        <v>60.5</v>
      </c>
      <c r="R423" s="17">
        <f t="shared" si="19"/>
        <v>37.899999999999991</v>
      </c>
      <c r="S423" s="17">
        <v>53.3</v>
      </c>
      <c r="T423" s="17">
        <f t="shared" si="20"/>
        <v>31.600000000000009</v>
      </c>
    </row>
    <row r="424" spans="1:20" x14ac:dyDescent="0.35">
      <c r="A424" s="14" t="s">
        <v>62</v>
      </c>
      <c r="B424" s="15" t="s">
        <v>63</v>
      </c>
      <c r="C424" s="15" t="s">
        <v>64</v>
      </c>
      <c r="D424" s="15" t="s">
        <v>100</v>
      </c>
      <c r="E424" s="15" t="s">
        <v>66</v>
      </c>
      <c r="F424" s="15" t="s">
        <v>67</v>
      </c>
      <c r="G424" s="15" t="s">
        <v>77</v>
      </c>
      <c r="H424" s="15" t="s">
        <v>71</v>
      </c>
      <c r="I424" s="16">
        <v>14854</v>
      </c>
      <c r="J424" s="16">
        <v>13946</v>
      </c>
      <c r="K424" s="16">
        <v>14611</v>
      </c>
      <c r="L424" s="17">
        <v>141.6</v>
      </c>
      <c r="M424" s="17">
        <v>21.2</v>
      </c>
      <c r="N424" s="17">
        <f t="shared" si="18"/>
        <v>120.39999999999999</v>
      </c>
      <c r="O424" s="17">
        <v>109.1</v>
      </c>
      <c r="P424" s="17">
        <v>118.1</v>
      </c>
      <c r="Q424" s="17">
        <v>75.400000000000006</v>
      </c>
      <c r="R424" s="17">
        <f t="shared" si="19"/>
        <v>44.999999999999986</v>
      </c>
      <c r="S424" s="17">
        <v>69.400000000000006</v>
      </c>
      <c r="T424" s="17">
        <f t="shared" si="20"/>
        <v>39.699999999999989</v>
      </c>
    </row>
    <row r="425" spans="1:20" x14ac:dyDescent="0.35">
      <c r="A425" s="14" t="s">
        <v>62</v>
      </c>
      <c r="B425" s="15" t="s">
        <v>63</v>
      </c>
      <c r="C425" s="15" t="s">
        <v>64</v>
      </c>
      <c r="D425" s="15" t="s">
        <v>100</v>
      </c>
      <c r="E425" s="15" t="s">
        <v>66</v>
      </c>
      <c r="F425" s="15" t="s">
        <v>67</v>
      </c>
      <c r="G425" s="15" t="s">
        <v>78</v>
      </c>
      <c r="H425" s="15" t="s">
        <v>71</v>
      </c>
      <c r="I425" s="16">
        <v>18522</v>
      </c>
      <c r="J425" s="16">
        <v>17392</v>
      </c>
      <c r="K425" s="16">
        <v>18194</v>
      </c>
      <c r="L425" s="17">
        <v>160.69999999999999</v>
      </c>
      <c r="M425" s="17">
        <v>21</v>
      </c>
      <c r="N425" s="17">
        <f t="shared" si="18"/>
        <v>139.69999999999999</v>
      </c>
      <c r="O425" s="17">
        <v>126.2</v>
      </c>
      <c r="P425" s="17">
        <v>136.9</v>
      </c>
      <c r="Q425" s="17">
        <v>84.9</v>
      </c>
      <c r="R425" s="17">
        <f t="shared" si="19"/>
        <v>54.799999999999983</v>
      </c>
      <c r="S425" s="17">
        <v>78.400000000000006</v>
      </c>
      <c r="T425" s="17">
        <f t="shared" si="20"/>
        <v>47.8</v>
      </c>
    </row>
    <row r="426" spans="1:20" x14ac:dyDescent="0.35">
      <c r="A426" s="14" t="s">
        <v>62</v>
      </c>
      <c r="B426" s="15" t="s">
        <v>63</v>
      </c>
      <c r="C426" s="15" t="s">
        <v>64</v>
      </c>
      <c r="D426" s="15" t="s">
        <v>100</v>
      </c>
      <c r="E426" s="15" t="s">
        <v>66</v>
      </c>
      <c r="F426" s="15" t="s">
        <v>79</v>
      </c>
      <c r="G426" s="15" t="s">
        <v>80</v>
      </c>
      <c r="H426" s="15" t="s">
        <v>71</v>
      </c>
      <c r="I426" s="16">
        <v>28688</v>
      </c>
      <c r="J426" s="16">
        <v>26410</v>
      </c>
      <c r="K426" s="16">
        <v>28050</v>
      </c>
      <c r="L426" s="17">
        <v>171.4</v>
      </c>
      <c r="M426" s="17">
        <v>25.5</v>
      </c>
      <c r="N426" s="17">
        <f t="shared" si="18"/>
        <v>145.9</v>
      </c>
      <c r="O426" s="17">
        <v>127.8</v>
      </c>
      <c r="P426" s="17">
        <v>143.30000000000001</v>
      </c>
      <c r="Q426" s="17">
        <v>87.5</v>
      </c>
      <c r="R426" s="17">
        <f t="shared" si="19"/>
        <v>58.400000000000006</v>
      </c>
      <c r="S426" s="17">
        <v>77.7</v>
      </c>
      <c r="T426" s="17">
        <f t="shared" si="20"/>
        <v>50.099999999999994</v>
      </c>
    </row>
    <row r="427" spans="1:20" x14ac:dyDescent="0.35">
      <c r="A427" s="14" t="s">
        <v>62</v>
      </c>
      <c r="B427" s="15" t="s">
        <v>63</v>
      </c>
      <c r="C427" s="15" t="s">
        <v>64</v>
      </c>
      <c r="D427" s="15" t="s">
        <v>100</v>
      </c>
      <c r="E427" s="15" t="s">
        <v>66</v>
      </c>
      <c r="F427" s="15" t="s">
        <v>81</v>
      </c>
      <c r="G427" s="15" t="s">
        <v>82</v>
      </c>
      <c r="H427" s="15" t="s">
        <v>71</v>
      </c>
      <c r="I427" s="16">
        <v>8448</v>
      </c>
      <c r="J427" s="16">
        <v>7624</v>
      </c>
      <c r="K427" s="16">
        <v>8381</v>
      </c>
      <c r="L427" s="17">
        <v>102.4</v>
      </c>
      <c r="M427" s="17">
        <v>14.2</v>
      </c>
      <c r="N427" s="17">
        <f t="shared" si="18"/>
        <v>88.2</v>
      </c>
      <c r="O427" s="17">
        <v>76.8</v>
      </c>
      <c r="P427" s="17">
        <v>86.3</v>
      </c>
      <c r="Q427" s="17">
        <v>55.6</v>
      </c>
      <c r="R427" s="17">
        <f t="shared" si="19"/>
        <v>32.6</v>
      </c>
      <c r="S427" s="17">
        <v>48.9</v>
      </c>
      <c r="T427" s="17">
        <f t="shared" si="20"/>
        <v>27.9</v>
      </c>
    </row>
    <row r="428" spans="1:20" x14ac:dyDescent="0.35">
      <c r="A428" s="14" t="s">
        <v>62</v>
      </c>
      <c r="B428" s="15" t="s">
        <v>63</v>
      </c>
      <c r="C428" s="15" t="s">
        <v>64</v>
      </c>
      <c r="D428" s="15" t="s">
        <v>100</v>
      </c>
      <c r="E428" s="15" t="s">
        <v>66</v>
      </c>
      <c r="F428" s="15" t="s">
        <v>83</v>
      </c>
      <c r="G428" s="15" t="s">
        <v>84</v>
      </c>
      <c r="H428" s="15" t="s">
        <v>72</v>
      </c>
      <c r="I428" s="16">
        <v>9480</v>
      </c>
      <c r="J428" s="16">
        <v>7705</v>
      </c>
      <c r="K428" s="16">
        <v>9375</v>
      </c>
      <c r="L428" s="17">
        <v>369.1</v>
      </c>
      <c r="M428" s="17">
        <v>49.2</v>
      </c>
      <c r="N428" s="17">
        <f t="shared" si="18"/>
        <v>319.90000000000003</v>
      </c>
      <c r="O428" s="17">
        <v>246.8</v>
      </c>
      <c r="P428" s="17">
        <v>310</v>
      </c>
      <c r="Q428" s="17">
        <v>184.4</v>
      </c>
      <c r="R428" s="17">
        <f t="shared" si="19"/>
        <v>135.50000000000003</v>
      </c>
      <c r="S428" s="17">
        <v>145</v>
      </c>
      <c r="T428" s="17">
        <f t="shared" si="20"/>
        <v>101.80000000000001</v>
      </c>
    </row>
    <row r="429" spans="1:20" x14ac:dyDescent="0.35">
      <c r="A429" s="14" t="s">
        <v>62</v>
      </c>
      <c r="B429" s="15" t="s">
        <v>63</v>
      </c>
      <c r="C429" s="15" t="s">
        <v>64</v>
      </c>
      <c r="D429" s="15" t="s">
        <v>100</v>
      </c>
      <c r="E429" s="15" t="s">
        <v>66</v>
      </c>
      <c r="F429" s="15" t="s">
        <v>85</v>
      </c>
      <c r="G429" s="15" t="s">
        <v>86</v>
      </c>
      <c r="H429" s="15" t="s">
        <v>72</v>
      </c>
      <c r="I429" s="16">
        <v>5054</v>
      </c>
      <c r="J429" s="16">
        <v>4604</v>
      </c>
      <c r="K429" s="16">
        <v>4957</v>
      </c>
      <c r="L429" s="17">
        <v>116.8</v>
      </c>
      <c r="M429" s="17">
        <v>15.3</v>
      </c>
      <c r="N429" s="17">
        <f t="shared" si="18"/>
        <v>101.5</v>
      </c>
      <c r="O429" s="17">
        <v>87.7</v>
      </c>
      <c r="P429" s="17">
        <v>99.4</v>
      </c>
      <c r="Q429" s="17">
        <v>67.400000000000006</v>
      </c>
      <c r="R429" s="17">
        <f t="shared" si="19"/>
        <v>34.099999999999994</v>
      </c>
      <c r="S429" s="17">
        <v>59.5</v>
      </c>
      <c r="T429" s="17">
        <f t="shared" si="20"/>
        <v>28.200000000000003</v>
      </c>
    </row>
    <row r="430" spans="1:20" x14ac:dyDescent="0.35">
      <c r="A430" s="14" t="s">
        <v>62</v>
      </c>
      <c r="B430" s="15" t="s">
        <v>63</v>
      </c>
      <c r="C430" s="15" t="s">
        <v>64</v>
      </c>
      <c r="D430" s="15" t="s">
        <v>100</v>
      </c>
      <c r="E430" s="15" t="s">
        <v>89</v>
      </c>
      <c r="F430" s="15" t="s">
        <v>67</v>
      </c>
      <c r="G430" s="15" t="s">
        <v>68</v>
      </c>
      <c r="H430" s="15" t="s">
        <v>69</v>
      </c>
      <c r="I430" s="16">
        <v>111397</v>
      </c>
      <c r="J430" s="16">
        <v>107772</v>
      </c>
      <c r="K430" s="16">
        <v>108895</v>
      </c>
      <c r="L430" s="17">
        <v>697.5</v>
      </c>
      <c r="M430" s="17">
        <v>43.4</v>
      </c>
      <c r="N430" s="17">
        <f t="shared" si="18"/>
        <v>654.1</v>
      </c>
      <c r="O430" s="17">
        <v>608.29999999999995</v>
      </c>
      <c r="P430" s="17">
        <v>635.9</v>
      </c>
      <c r="Q430" s="17">
        <v>363.8</v>
      </c>
      <c r="R430" s="17">
        <f t="shared" si="19"/>
        <v>290.3</v>
      </c>
      <c r="S430" s="17">
        <v>341.9</v>
      </c>
      <c r="T430" s="17">
        <f t="shared" si="20"/>
        <v>266.39999999999998</v>
      </c>
    </row>
    <row r="431" spans="1:20" x14ac:dyDescent="0.35">
      <c r="A431" s="14" t="s">
        <v>62</v>
      </c>
      <c r="B431" s="15" t="s">
        <v>63</v>
      </c>
      <c r="C431" s="15" t="s">
        <v>64</v>
      </c>
      <c r="D431" s="15" t="s">
        <v>100</v>
      </c>
      <c r="E431" s="15" t="s">
        <v>89</v>
      </c>
      <c r="F431" s="15" t="s">
        <v>67</v>
      </c>
      <c r="G431" s="15" t="s">
        <v>68</v>
      </c>
      <c r="H431" s="15" t="s">
        <v>70</v>
      </c>
      <c r="I431" s="16">
        <v>120227</v>
      </c>
      <c r="J431" s="16">
        <v>113225</v>
      </c>
      <c r="K431" s="16">
        <v>118372</v>
      </c>
      <c r="L431" s="17">
        <v>898.8</v>
      </c>
      <c r="M431" s="17">
        <v>58.4</v>
      </c>
      <c r="N431" s="17">
        <f t="shared" si="18"/>
        <v>840.4</v>
      </c>
      <c r="O431" s="17">
        <v>762.9</v>
      </c>
      <c r="P431" s="17">
        <v>822.4</v>
      </c>
      <c r="Q431" s="17">
        <v>476.9</v>
      </c>
      <c r="R431" s="17">
        <f t="shared" si="19"/>
        <v>363.5</v>
      </c>
      <c r="S431" s="17">
        <v>443.6</v>
      </c>
      <c r="T431" s="17">
        <f t="shared" si="20"/>
        <v>319.29999999999995</v>
      </c>
    </row>
    <row r="432" spans="1:20" x14ac:dyDescent="0.35">
      <c r="A432" s="14" t="s">
        <v>62</v>
      </c>
      <c r="B432" s="15" t="s">
        <v>63</v>
      </c>
      <c r="C432" s="15" t="s">
        <v>64</v>
      </c>
      <c r="D432" s="15" t="s">
        <v>100</v>
      </c>
      <c r="E432" s="15" t="s">
        <v>89</v>
      </c>
      <c r="F432" s="15" t="s">
        <v>67</v>
      </c>
      <c r="G432" s="15" t="s">
        <v>68</v>
      </c>
      <c r="H432" s="15" t="s">
        <v>71</v>
      </c>
      <c r="I432" s="16">
        <v>114388</v>
      </c>
      <c r="J432" s="16">
        <v>109511</v>
      </c>
      <c r="K432" s="16">
        <v>113203</v>
      </c>
      <c r="L432" s="17">
        <v>1053.8</v>
      </c>
      <c r="M432" s="17">
        <v>84.3</v>
      </c>
      <c r="N432" s="17">
        <f t="shared" si="18"/>
        <v>969.5</v>
      </c>
      <c r="O432" s="17">
        <v>884.8</v>
      </c>
      <c r="P432" s="17">
        <v>938.6</v>
      </c>
      <c r="Q432" s="17">
        <v>612.4</v>
      </c>
      <c r="R432" s="17">
        <f t="shared" si="19"/>
        <v>357.1</v>
      </c>
      <c r="S432" s="17">
        <v>568.9</v>
      </c>
      <c r="T432" s="17">
        <f t="shared" si="20"/>
        <v>315.89999999999998</v>
      </c>
    </row>
    <row r="433" spans="1:20" x14ac:dyDescent="0.35">
      <c r="A433" s="14" t="s">
        <v>62</v>
      </c>
      <c r="B433" s="15" t="s">
        <v>63</v>
      </c>
      <c r="C433" s="15" t="s">
        <v>64</v>
      </c>
      <c r="D433" s="15" t="s">
        <v>100</v>
      </c>
      <c r="E433" s="15" t="s">
        <v>89</v>
      </c>
      <c r="F433" s="15" t="s">
        <v>67</v>
      </c>
      <c r="G433" s="15" t="s">
        <v>68</v>
      </c>
      <c r="H433" s="15" t="s">
        <v>72</v>
      </c>
      <c r="I433" s="16">
        <v>22821</v>
      </c>
      <c r="J433" s="16">
        <v>21499</v>
      </c>
      <c r="K433" s="16">
        <v>22473</v>
      </c>
      <c r="L433" s="17">
        <v>293.39999999999998</v>
      </c>
      <c r="M433" s="17">
        <v>21.2</v>
      </c>
      <c r="N433" s="17">
        <f t="shared" si="18"/>
        <v>272.2</v>
      </c>
      <c r="O433" s="17">
        <v>244</v>
      </c>
      <c r="P433" s="17">
        <v>267.89999999999998</v>
      </c>
      <c r="Q433" s="17">
        <v>173.5</v>
      </c>
      <c r="R433" s="17">
        <f t="shared" si="19"/>
        <v>98.699999999999989</v>
      </c>
      <c r="S433" s="17">
        <v>158</v>
      </c>
      <c r="T433" s="17">
        <f t="shared" si="20"/>
        <v>86</v>
      </c>
    </row>
    <row r="434" spans="1:20" x14ac:dyDescent="0.35">
      <c r="A434" s="14" t="s">
        <v>62</v>
      </c>
      <c r="B434" s="15" t="s">
        <v>63</v>
      </c>
      <c r="C434" s="15" t="s">
        <v>64</v>
      </c>
      <c r="D434" s="15" t="s">
        <v>100</v>
      </c>
      <c r="E434" s="15" t="s">
        <v>89</v>
      </c>
      <c r="F434" s="15" t="s">
        <v>67</v>
      </c>
      <c r="G434" s="15" t="s">
        <v>73</v>
      </c>
      <c r="H434" s="15" t="s">
        <v>71</v>
      </c>
      <c r="I434" s="16">
        <v>30081</v>
      </c>
      <c r="J434" s="16">
        <v>26018</v>
      </c>
      <c r="K434" s="16">
        <v>29567</v>
      </c>
      <c r="L434" s="17">
        <v>276.39999999999998</v>
      </c>
      <c r="M434" s="17">
        <v>18.3</v>
      </c>
      <c r="N434" s="17">
        <f t="shared" si="18"/>
        <v>258.09999999999997</v>
      </c>
      <c r="O434" s="17">
        <v>214.9</v>
      </c>
      <c r="P434" s="17">
        <v>251.4</v>
      </c>
      <c r="Q434" s="17">
        <v>159.5</v>
      </c>
      <c r="R434" s="17">
        <f t="shared" si="19"/>
        <v>98.599999999999966</v>
      </c>
      <c r="S434" s="17">
        <v>135.6</v>
      </c>
      <c r="T434" s="17">
        <f t="shared" si="20"/>
        <v>79.300000000000011</v>
      </c>
    </row>
    <row r="435" spans="1:20" x14ac:dyDescent="0.35">
      <c r="A435" s="14" t="s">
        <v>62</v>
      </c>
      <c r="B435" s="15" t="s">
        <v>63</v>
      </c>
      <c r="C435" s="15" t="s">
        <v>64</v>
      </c>
      <c r="D435" s="15" t="s">
        <v>100</v>
      </c>
      <c r="E435" s="15" t="s">
        <v>89</v>
      </c>
      <c r="F435" s="15" t="s">
        <v>67</v>
      </c>
      <c r="G435" s="15" t="s">
        <v>73</v>
      </c>
      <c r="H435" s="15" t="s">
        <v>72</v>
      </c>
      <c r="I435" s="16">
        <v>8385</v>
      </c>
      <c r="J435" s="16">
        <v>7244</v>
      </c>
      <c r="K435" s="16">
        <v>8261</v>
      </c>
      <c r="L435" s="17">
        <v>102.7</v>
      </c>
      <c r="M435" s="17">
        <v>7.1</v>
      </c>
      <c r="N435" s="17">
        <f t="shared" si="18"/>
        <v>95.600000000000009</v>
      </c>
      <c r="O435" s="17">
        <v>78.400000000000006</v>
      </c>
      <c r="P435" s="17">
        <v>93.8</v>
      </c>
      <c r="Q435" s="17">
        <v>62</v>
      </c>
      <c r="R435" s="17">
        <f t="shared" si="19"/>
        <v>33.600000000000009</v>
      </c>
      <c r="S435" s="17">
        <v>51.7</v>
      </c>
      <c r="T435" s="17">
        <f t="shared" si="20"/>
        <v>26.700000000000003</v>
      </c>
    </row>
    <row r="436" spans="1:20" x14ac:dyDescent="0.35">
      <c r="A436" s="14" t="s">
        <v>62</v>
      </c>
      <c r="B436" s="15" t="s">
        <v>63</v>
      </c>
      <c r="C436" s="15" t="s">
        <v>64</v>
      </c>
      <c r="D436" s="15" t="s">
        <v>100</v>
      </c>
      <c r="E436" s="15" t="s">
        <v>89</v>
      </c>
      <c r="F436" s="15" t="s">
        <v>67</v>
      </c>
      <c r="G436" s="15" t="s">
        <v>74</v>
      </c>
      <c r="H436" s="15" t="s">
        <v>70</v>
      </c>
      <c r="I436" s="16">
        <v>50644</v>
      </c>
      <c r="J436" s="16">
        <v>47419</v>
      </c>
      <c r="K436" s="16">
        <v>50242</v>
      </c>
      <c r="L436" s="17">
        <v>355.1</v>
      </c>
      <c r="M436" s="17">
        <v>25</v>
      </c>
      <c r="N436" s="17">
        <f t="shared" si="18"/>
        <v>330.1</v>
      </c>
      <c r="O436" s="17">
        <v>296.10000000000002</v>
      </c>
      <c r="P436" s="17">
        <v>323.7</v>
      </c>
      <c r="Q436" s="17">
        <v>192.3</v>
      </c>
      <c r="R436" s="17">
        <f t="shared" si="19"/>
        <v>137.80000000000001</v>
      </c>
      <c r="S436" s="17">
        <v>174.9</v>
      </c>
      <c r="T436" s="17">
        <f t="shared" si="20"/>
        <v>121.20000000000002</v>
      </c>
    </row>
    <row r="437" spans="1:20" x14ac:dyDescent="0.35">
      <c r="A437" s="14" t="s">
        <v>62</v>
      </c>
      <c r="B437" s="15" t="s">
        <v>63</v>
      </c>
      <c r="C437" s="15" t="s">
        <v>64</v>
      </c>
      <c r="D437" s="15" t="s">
        <v>100</v>
      </c>
      <c r="E437" s="15" t="s">
        <v>89</v>
      </c>
      <c r="F437" s="15" t="s">
        <v>67</v>
      </c>
      <c r="G437" s="15" t="s">
        <v>74</v>
      </c>
      <c r="H437" s="15" t="s">
        <v>71</v>
      </c>
      <c r="I437" s="16">
        <v>50304</v>
      </c>
      <c r="J437" s="16">
        <v>47802</v>
      </c>
      <c r="K437" s="16">
        <v>49600</v>
      </c>
      <c r="L437" s="17">
        <v>446.3</v>
      </c>
      <c r="M437" s="17">
        <v>27.1</v>
      </c>
      <c r="N437" s="17">
        <f t="shared" si="18"/>
        <v>419.2</v>
      </c>
      <c r="O437" s="17">
        <v>380.1</v>
      </c>
      <c r="P437" s="17">
        <v>409.7</v>
      </c>
      <c r="Q437" s="17">
        <v>258.8</v>
      </c>
      <c r="R437" s="17">
        <f t="shared" si="19"/>
        <v>160.39999999999998</v>
      </c>
      <c r="S437" s="17">
        <v>236.2</v>
      </c>
      <c r="T437" s="17">
        <f t="shared" si="20"/>
        <v>143.90000000000003</v>
      </c>
    </row>
    <row r="438" spans="1:20" x14ac:dyDescent="0.35">
      <c r="A438" s="14" t="s">
        <v>62</v>
      </c>
      <c r="B438" s="15" t="s">
        <v>63</v>
      </c>
      <c r="C438" s="15" t="s">
        <v>64</v>
      </c>
      <c r="D438" s="15" t="s">
        <v>100</v>
      </c>
      <c r="E438" s="15" t="s">
        <v>89</v>
      </c>
      <c r="F438" s="15" t="s">
        <v>67</v>
      </c>
      <c r="G438" s="15" t="s">
        <v>75</v>
      </c>
      <c r="H438" s="15" t="s">
        <v>71</v>
      </c>
      <c r="I438" s="16">
        <v>34300</v>
      </c>
      <c r="J438" s="16">
        <v>32817</v>
      </c>
      <c r="K438" s="16">
        <v>34027</v>
      </c>
      <c r="L438" s="17">
        <v>314.3</v>
      </c>
      <c r="M438" s="17">
        <v>22.6</v>
      </c>
      <c r="N438" s="17">
        <f t="shared" si="18"/>
        <v>291.7</v>
      </c>
      <c r="O438" s="17">
        <v>265</v>
      </c>
      <c r="P438" s="17">
        <v>282.7</v>
      </c>
      <c r="Q438" s="17">
        <v>182.8</v>
      </c>
      <c r="R438" s="17">
        <f t="shared" si="19"/>
        <v>108.89999999999998</v>
      </c>
      <c r="S438" s="17">
        <v>169.4</v>
      </c>
      <c r="T438" s="17">
        <f t="shared" si="20"/>
        <v>95.6</v>
      </c>
    </row>
    <row r="439" spans="1:20" x14ac:dyDescent="0.35">
      <c r="A439" s="14" t="s">
        <v>62</v>
      </c>
      <c r="B439" s="15" t="s">
        <v>63</v>
      </c>
      <c r="C439" s="15" t="s">
        <v>64</v>
      </c>
      <c r="D439" s="15" t="s">
        <v>100</v>
      </c>
      <c r="E439" s="15" t="s">
        <v>89</v>
      </c>
      <c r="F439" s="15" t="s">
        <v>67</v>
      </c>
      <c r="G439" s="15" t="s">
        <v>76</v>
      </c>
      <c r="H439" s="15" t="s">
        <v>72</v>
      </c>
      <c r="I439" s="16">
        <v>5493</v>
      </c>
      <c r="J439" s="16">
        <v>5101</v>
      </c>
      <c r="K439" s="16">
        <v>5423</v>
      </c>
      <c r="L439" s="17">
        <v>79.900000000000006</v>
      </c>
      <c r="M439" s="17">
        <v>5.7</v>
      </c>
      <c r="N439" s="17">
        <f t="shared" si="18"/>
        <v>74.2</v>
      </c>
      <c r="O439" s="17">
        <v>66.2</v>
      </c>
      <c r="P439" s="17">
        <v>71.7</v>
      </c>
      <c r="Q439" s="17">
        <v>45.6</v>
      </c>
      <c r="R439" s="17">
        <f t="shared" si="19"/>
        <v>28.6</v>
      </c>
      <c r="S439" s="17">
        <v>41.6</v>
      </c>
      <c r="T439" s="17">
        <f t="shared" si="20"/>
        <v>24.6</v>
      </c>
    </row>
    <row r="440" spans="1:20" x14ac:dyDescent="0.35">
      <c r="A440" s="14" t="s">
        <v>62</v>
      </c>
      <c r="B440" s="15" t="s">
        <v>63</v>
      </c>
      <c r="C440" s="15" t="s">
        <v>64</v>
      </c>
      <c r="D440" s="15" t="s">
        <v>100</v>
      </c>
      <c r="E440" s="15" t="s">
        <v>89</v>
      </c>
      <c r="F440" s="15" t="s">
        <v>67</v>
      </c>
      <c r="G440" s="15" t="s">
        <v>77</v>
      </c>
      <c r="H440" s="15" t="s">
        <v>71</v>
      </c>
      <c r="I440" s="16">
        <v>17057</v>
      </c>
      <c r="J440" s="16">
        <v>16305</v>
      </c>
      <c r="K440" s="16">
        <v>16779</v>
      </c>
      <c r="L440" s="17">
        <v>158.19999999999999</v>
      </c>
      <c r="M440" s="17">
        <v>11.4</v>
      </c>
      <c r="N440" s="17">
        <f t="shared" si="18"/>
        <v>146.79999999999998</v>
      </c>
      <c r="O440" s="17">
        <v>134.30000000000001</v>
      </c>
      <c r="P440" s="17">
        <v>143.30000000000001</v>
      </c>
      <c r="Q440" s="17">
        <v>89.9</v>
      </c>
      <c r="R440" s="17">
        <f t="shared" si="19"/>
        <v>56.899999999999977</v>
      </c>
      <c r="S440" s="17">
        <v>83.7</v>
      </c>
      <c r="T440" s="17">
        <f t="shared" si="20"/>
        <v>50.600000000000009</v>
      </c>
    </row>
    <row r="441" spans="1:20" x14ac:dyDescent="0.35">
      <c r="A441" s="14" t="s">
        <v>62</v>
      </c>
      <c r="B441" s="15" t="s">
        <v>63</v>
      </c>
      <c r="C441" s="15" t="s">
        <v>64</v>
      </c>
      <c r="D441" s="15" t="s">
        <v>100</v>
      </c>
      <c r="E441" s="15" t="s">
        <v>89</v>
      </c>
      <c r="F441" s="15" t="s">
        <v>67</v>
      </c>
      <c r="G441" s="15" t="s">
        <v>78</v>
      </c>
      <c r="H441" s="15" t="s">
        <v>71</v>
      </c>
      <c r="I441" s="16">
        <v>24832</v>
      </c>
      <c r="J441" s="16">
        <v>23761</v>
      </c>
      <c r="K441" s="16">
        <v>24322</v>
      </c>
      <c r="L441" s="17">
        <v>214</v>
      </c>
      <c r="M441" s="17">
        <v>14.2</v>
      </c>
      <c r="N441" s="17">
        <f t="shared" si="18"/>
        <v>199.8</v>
      </c>
      <c r="O441" s="17">
        <v>183</v>
      </c>
      <c r="P441" s="17">
        <v>193.1</v>
      </c>
      <c r="Q441" s="17">
        <v>126.8</v>
      </c>
      <c r="R441" s="17">
        <f t="shared" si="19"/>
        <v>73.000000000000014</v>
      </c>
      <c r="S441" s="17">
        <v>117.2</v>
      </c>
      <c r="T441" s="17">
        <f t="shared" si="20"/>
        <v>65.8</v>
      </c>
    </row>
    <row r="442" spans="1:20" x14ac:dyDescent="0.35">
      <c r="A442" s="14" t="s">
        <v>62</v>
      </c>
      <c r="B442" s="15" t="s">
        <v>63</v>
      </c>
      <c r="C442" s="15" t="s">
        <v>64</v>
      </c>
      <c r="D442" s="15" t="s">
        <v>100</v>
      </c>
      <c r="E442" s="15" t="s">
        <v>89</v>
      </c>
      <c r="F442" s="15" t="s">
        <v>79</v>
      </c>
      <c r="G442" s="15" t="s">
        <v>80</v>
      </c>
      <c r="H442" s="15" t="s">
        <v>71</v>
      </c>
      <c r="I442" s="16">
        <v>35491</v>
      </c>
      <c r="J442" s="16">
        <v>33003</v>
      </c>
      <c r="K442" s="16">
        <v>34761</v>
      </c>
      <c r="L442" s="17">
        <v>206.7</v>
      </c>
      <c r="M442" s="17">
        <v>15.1</v>
      </c>
      <c r="N442" s="17">
        <f t="shared" si="18"/>
        <v>191.6</v>
      </c>
      <c r="O442" s="17">
        <v>169.9</v>
      </c>
      <c r="P442" s="17">
        <v>185.2</v>
      </c>
      <c r="Q442" s="17">
        <v>113.9</v>
      </c>
      <c r="R442" s="17">
        <f t="shared" si="19"/>
        <v>77.699999999999989</v>
      </c>
      <c r="S442" s="17">
        <v>103.4</v>
      </c>
      <c r="T442" s="17">
        <f t="shared" si="20"/>
        <v>66.5</v>
      </c>
    </row>
    <row r="443" spans="1:20" x14ac:dyDescent="0.35">
      <c r="A443" s="14" t="s">
        <v>62</v>
      </c>
      <c r="B443" s="15" t="s">
        <v>63</v>
      </c>
      <c r="C443" s="15" t="s">
        <v>64</v>
      </c>
      <c r="D443" s="15" t="s">
        <v>100</v>
      </c>
      <c r="E443" s="15" t="s">
        <v>89</v>
      </c>
      <c r="F443" s="15" t="s">
        <v>81</v>
      </c>
      <c r="G443" s="15" t="s">
        <v>82</v>
      </c>
      <c r="H443" s="15" t="s">
        <v>71</v>
      </c>
      <c r="I443" s="16">
        <v>12139</v>
      </c>
      <c r="J443" s="16">
        <v>11185</v>
      </c>
      <c r="K443" s="16">
        <v>11978</v>
      </c>
      <c r="L443" s="17">
        <v>144.9</v>
      </c>
      <c r="M443" s="17">
        <v>9.5</v>
      </c>
      <c r="N443" s="17">
        <f t="shared" si="18"/>
        <v>135.4</v>
      </c>
      <c r="O443" s="17">
        <v>120.5</v>
      </c>
      <c r="P443" s="17">
        <v>132.69999999999999</v>
      </c>
      <c r="Q443" s="17">
        <v>84.9</v>
      </c>
      <c r="R443" s="17">
        <f t="shared" si="19"/>
        <v>50.5</v>
      </c>
      <c r="S443" s="17">
        <v>76.599999999999994</v>
      </c>
      <c r="T443" s="17">
        <f t="shared" si="20"/>
        <v>43.900000000000006</v>
      </c>
    </row>
    <row r="444" spans="1:20" x14ac:dyDescent="0.35">
      <c r="A444" s="14" t="s">
        <v>62</v>
      </c>
      <c r="B444" s="15" t="s">
        <v>63</v>
      </c>
      <c r="C444" s="15" t="s">
        <v>64</v>
      </c>
      <c r="D444" s="15" t="s">
        <v>100</v>
      </c>
      <c r="E444" s="15" t="s">
        <v>89</v>
      </c>
      <c r="F444" s="15" t="s">
        <v>83</v>
      </c>
      <c r="G444" s="15" t="s">
        <v>84</v>
      </c>
      <c r="H444" s="15" t="s">
        <v>72</v>
      </c>
      <c r="I444" s="16">
        <v>4580</v>
      </c>
      <c r="J444" s="16">
        <v>3769</v>
      </c>
      <c r="K444" s="16">
        <v>4513</v>
      </c>
      <c r="L444" s="17">
        <v>175.7</v>
      </c>
      <c r="M444" s="17">
        <v>12.6</v>
      </c>
      <c r="N444" s="17">
        <f t="shared" si="18"/>
        <v>163.1</v>
      </c>
      <c r="O444" s="17">
        <v>128.9</v>
      </c>
      <c r="P444" s="17">
        <v>160.1</v>
      </c>
      <c r="Q444" s="17">
        <v>92.7</v>
      </c>
      <c r="R444" s="17">
        <f t="shared" si="19"/>
        <v>70.399999999999991</v>
      </c>
      <c r="S444" s="17">
        <v>74.3</v>
      </c>
      <c r="T444" s="17">
        <f t="shared" si="20"/>
        <v>54.600000000000009</v>
      </c>
    </row>
    <row r="445" spans="1:20" x14ac:dyDescent="0.35">
      <c r="A445" s="14" t="s">
        <v>62</v>
      </c>
      <c r="B445" s="15" t="s">
        <v>63</v>
      </c>
      <c r="C445" s="15" t="s">
        <v>64</v>
      </c>
      <c r="D445" s="15" t="s">
        <v>100</v>
      </c>
      <c r="E445" s="15" t="s">
        <v>89</v>
      </c>
      <c r="F445" s="15" t="s">
        <v>85</v>
      </c>
      <c r="G445" s="15" t="s">
        <v>86</v>
      </c>
      <c r="H445" s="15" t="s">
        <v>72</v>
      </c>
      <c r="I445" s="16">
        <v>3791</v>
      </c>
      <c r="J445" s="16">
        <v>3470</v>
      </c>
      <c r="K445" s="16">
        <v>3758</v>
      </c>
      <c r="L445" s="17">
        <v>87.6</v>
      </c>
      <c r="M445" s="17">
        <v>6.9</v>
      </c>
      <c r="N445" s="17">
        <f t="shared" si="18"/>
        <v>80.699999999999989</v>
      </c>
      <c r="O445" s="17">
        <v>70.599999999999994</v>
      </c>
      <c r="P445" s="17">
        <v>78.7</v>
      </c>
      <c r="Q445" s="17">
        <v>52.8</v>
      </c>
      <c r="R445" s="17">
        <f t="shared" si="19"/>
        <v>27.899999999999991</v>
      </c>
      <c r="S445" s="17">
        <v>46.7</v>
      </c>
      <c r="T445" s="17">
        <f t="shared" si="20"/>
        <v>23.899999999999991</v>
      </c>
    </row>
    <row r="446" spans="1:20" x14ac:dyDescent="0.35">
      <c r="A446" s="14" t="s">
        <v>62</v>
      </c>
      <c r="B446" s="15" t="s">
        <v>63</v>
      </c>
      <c r="C446" s="15" t="s">
        <v>64</v>
      </c>
      <c r="D446" s="15" t="s">
        <v>100</v>
      </c>
      <c r="E446" s="15" t="s">
        <v>90</v>
      </c>
      <c r="F446" s="15" t="s">
        <v>67</v>
      </c>
      <c r="G446" s="15" t="s">
        <v>68</v>
      </c>
      <c r="H446" s="15" t="s">
        <v>69</v>
      </c>
      <c r="I446" s="16">
        <v>34365</v>
      </c>
      <c r="J446" s="16">
        <v>33661</v>
      </c>
      <c r="K446" s="16">
        <v>33868</v>
      </c>
      <c r="L446" s="17">
        <v>199.1</v>
      </c>
      <c r="M446" s="17">
        <v>20.399999999999999</v>
      </c>
      <c r="N446" s="17">
        <f t="shared" si="18"/>
        <v>178.7</v>
      </c>
      <c r="O446" s="17">
        <v>169.1</v>
      </c>
      <c r="P446" s="17">
        <v>173.6</v>
      </c>
      <c r="Q446" s="17">
        <v>99.9</v>
      </c>
      <c r="R446" s="17">
        <f t="shared" si="19"/>
        <v>78.799999999999983</v>
      </c>
      <c r="S446" s="17">
        <v>96.7</v>
      </c>
      <c r="T446" s="17">
        <f t="shared" si="20"/>
        <v>72.399999999999991</v>
      </c>
    </row>
    <row r="447" spans="1:20" x14ac:dyDescent="0.35">
      <c r="A447" s="14" t="s">
        <v>62</v>
      </c>
      <c r="B447" s="15" t="s">
        <v>63</v>
      </c>
      <c r="C447" s="15" t="s">
        <v>64</v>
      </c>
      <c r="D447" s="15" t="s">
        <v>100</v>
      </c>
      <c r="E447" s="15" t="s">
        <v>90</v>
      </c>
      <c r="F447" s="15" t="s">
        <v>67</v>
      </c>
      <c r="G447" s="15" t="s">
        <v>68</v>
      </c>
      <c r="H447" s="15" t="s">
        <v>70</v>
      </c>
      <c r="I447" s="16">
        <v>40664</v>
      </c>
      <c r="J447" s="16">
        <v>38744</v>
      </c>
      <c r="K447" s="16">
        <v>39877</v>
      </c>
      <c r="L447" s="17">
        <v>275.39999999999998</v>
      </c>
      <c r="M447" s="17">
        <v>30.3</v>
      </c>
      <c r="N447" s="17">
        <f t="shared" si="18"/>
        <v>245.09999999999997</v>
      </c>
      <c r="O447" s="17">
        <v>222.7</v>
      </c>
      <c r="P447" s="17">
        <v>241</v>
      </c>
      <c r="Q447" s="17">
        <v>137.80000000000001</v>
      </c>
      <c r="R447" s="17">
        <f t="shared" si="19"/>
        <v>107.29999999999995</v>
      </c>
      <c r="S447" s="17">
        <v>128.1</v>
      </c>
      <c r="T447" s="17">
        <f t="shared" si="20"/>
        <v>94.6</v>
      </c>
    </row>
    <row r="448" spans="1:20" x14ac:dyDescent="0.35">
      <c r="A448" s="14" t="s">
        <v>62</v>
      </c>
      <c r="B448" s="15" t="s">
        <v>63</v>
      </c>
      <c r="C448" s="15" t="s">
        <v>64</v>
      </c>
      <c r="D448" s="15" t="s">
        <v>100</v>
      </c>
      <c r="E448" s="15" t="s">
        <v>90</v>
      </c>
      <c r="F448" s="15" t="s">
        <v>67</v>
      </c>
      <c r="G448" s="15" t="s">
        <v>68</v>
      </c>
      <c r="H448" s="15" t="s">
        <v>71</v>
      </c>
      <c r="I448" s="16">
        <v>67362</v>
      </c>
      <c r="J448" s="16">
        <v>65295</v>
      </c>
      <c r="K448" s="16">
        <v>66247</v>
      </c>
      <c r="L448" s="17">
        <v>556.29999999999995</v>
      </c>
      <c r="M448" s="17">
        <v>57.1</v>
      </c>
      <c r="N448" s="17">
        <f t="shared" si="18"/>
        <v>499.19999999999993</v>
      </c>
      <c r="O448" s="17">
        <v>463.7</v>
      </c>
      <c r="P448" s="17">
        <v>491.4</v>
      </c>
      <c r="Q448" s="17">
        <v>304</v>
      </c>
      <c r="R448" s="17">
        <f t="shared" si="19"/>
        <v>195.19999999999993</v>
      </c>
      <c r="S448" s="17">
        <v>288.39999999999998</v>
      </c>
      <c r="T448" s="17">
        <f t="shared" si="20"/>
        <v>175.3</v>
      </c>
    </row>
    <row r="449" spans="1:20" x14ac:dyDescent="0.35">
      <c r="A449" s="14" t="s">
        <v>62</v>
      </c>
      <c r="B449" s="15" t="s">
        <v>63</v>
      </c>
      <c r="C449" s="15" t="s">
        <v>64</v>
      </c>
      <c r="D449" s="15" t="s">
        <v>100</v>
      </c>
      <c r="E449" s="15" t="s">
        <v>90</v>
      </c>
      <c r="F449" s="15" t="s">
        <v>67</v>
      </c>
      <c r="G449" s="15" t="s">
        <v>68</v>
      </c>
      <c r="H449" s="15" t="s">
        <v>72</v>
      </c>
      <c r="I449" s="16">
        <v>18400</v>
      </c>
      <c r="J449" s="16">
        <v>17416</v>
      </c>
      <c r="K449" s="16">
        <v>18213</v>
      </c>
      <c r="L449" s="17">
        <v>211.6</v>
      </c>
      <c r="M449" s="17">
        <v>23.9</v>
      </c>
      <c r="N449" s="17">
        <f t="shared" si="18"/>
        <v>187.7</v>
      </c>
      <c r="O449" s="17">
        <v>169.7</v>
      </c>
      <c r="P449" s="17">
        <v>184.7</v>
      </c>
      <c r="Q449" s="17">
        <v>118.7</v>
      </c>
      <c r="R449" s="17">
        <f t="shared" si="19"/>
        <v>68.999999999999986</v>
      </c>
      <c r="S449" s="17">
        <v>108.9</v>
      </c>
      <c r="T449" s="17">
        <f t="shared" si="20"/>
        <v>60.799999999999983</v>
      </c>
    </row>
    <row r="450" spans="1:20" x14ac:dyDescent="0.35">
      <c r="A450" s="14" t="s">
        <v>62</v>
      </c>
      <c r="B450" s="15" t="s">
        <v>63</v>
      </c>
      <c r="C450" s="15" t="s">
        <v>64</v>
      </c>
      <c r="D450" s="15" t="s">
        <v>100</v>
      </c>
      <c r="E450" s="15" t="s">
        <v>90</v>
      </c>
      <c r="F450" s="15" t="s">
        <v>67</v>
      </c>
      <c r="G450" s="15" t="s">
        <v>73</v>
      </c>
      <c r="H450" s="15" t="s">
        <v>71</v>
      </c>
      <c r="I450" s="16">
        <v>17375</v>
      </c>
      <c r="J450" s="16">
        <v>15194</v>
      </c>
      <c r="K450" s="16">
        <v>16992</v>
      </c>
      <c r="L450" s="17">
        <v>145</v>
      </c>
      <c r="M450" s="17">
        <v>15</v>
      </c>
      <c r="N450" s="17">
        <f t="shared" si="18"/>
        <v>130</v>
      </c>
      <c r="O450" s="17">
        <v>108.1</v>
      </c>
      <c r="P450" s="17">
        <v>126.9</v>
      </c>
      <c r="Q450" s="17">
        <v>80.599999999999994</v>
      </c>
      <c r="R450" s="17">
        <f t="shared" si="19"/>
        <v>49.400000000000006</v>
      </c>
      <c r="S450" s="17">
        <v>67.8</v>
      </c>
      <c r="T450" s="17">
        <f t="shared" si="20"/>
        <v>40.299999999999997</v>
      </c>
    </row>
    <row r="451" spans="1:20" x14ac:dyDescent="0.35">
      <c r="A451" s="14" t="s">
        <v>62</v>
      </c>
      <c r="B451" s="15" t="s">
        <v>63</v>
      </c>
      <c r="C451" s="15" t="s">
        <v>64</v>
      </c>
      <c r="D451" s="15" t="s">
        <v>100</v>
      </c>
      <c r="E451" s="15" t="s">
        <v>90</v>
      </c>
      <c r="F451" s="15" t="s">
        <v>67</v>
      </c>
      <c r="G451" s="15" t="s">
        <v>73</v>
      </c>
      <c r="H451" s="15" t="s">
        <v>72</v>
      </c>
      <c r="I451" s="16">
        <v>5445</v>
      </c>
      <c r="J451" s="16">
        <v>4661</v>
      </c>
      <c r="K451" s="16">
        <v>5395</v>
      </c>
      <c r="L451" s="17">
        <v>61</v>
      </c>
      <c r="M451" s="17">
        <v>6.4</v>
      </c>
      <c r="N451" s="17">
        <f t="shared" si="18"/>
        <v>54.6</v>
      </c>
      <c r="O451" s="17">
        <v>44.8</v>
      </c>
      <c r="P451" s="17">
        <v>53.8</v>
      </c>
      <c r="Q451" s="17">
        <v>35.1</v>
      </c>
      <c r="R451" s="17">
        <f t="shared" si="19"/>
        <v>19.5</v>
      </c>
      <c r="S451" s="17">
        <v>29.3</v>
      </c>
      <c r="T451" s="17">
        <f t="shared" si="20"/>
        <v>15.499999999999996</v>
      </c>
    </row>
    <row r="452" spans="1:20" x14ac:dyDescent="0.35">
      <c r="A452" s="14" t="s">
        <v>62</v>
      </c>
      <c r="B452" s="15" t="s">
        <v>63</v>
      </c>
      <c r="C452" s="15" t="s">
        <v>64</v>
      </c>
      <c r="D452" s="15" t="s">
        <v>100</v>
      </c>
      <c r="E452" s="15" t="s">
        <v>90</v>
      </c>
      <c r="F452" s="15" t="s">
        <v>67</v>
      </c>
      <c r="G452" s="15" t="s">
        <v>74</v>
      </c>
      <c r="H452" s="15" t="s">
        <v>70</v>
      </c>
      <c r="I452" s="16">
        <v>18979</v>
      </c>
      <c r="J452" s="16">
        <v>17662</v>
      </c>
      <c r="K452" s="16">
        <v>18688</v>
      </c>
      <c r="L452" s="17">
        <v>122.7</v>
      </c>
      <c r="M452" s="17">
        <v>14</v>
      </c>
      <c r="N452" s="17">
        <f t="shared" ref="N452:N515" si="21">L452-M452</f>
        <v>108.7</v>
      </c>
      <c r="O452" s="17">
        <v>96.7</v>
      </c>
      <c r="P452" s="17">
        <v>106.7</v>
      </c>
      <c r="Q452" s="17">
        <v>60.8</v>
      </c>
      <c r="R452" s="17">
        <f t="shared" ref="R452:R515" si="22">N452-Q452</f>
        <v>47.900000000000006</v>
      </c>
      <c r="S452" s="17">
        <v>55</v>
      </c>
      <c r="T452" s="17">
        <f t="shared" ref="T452:T515" si="23">O452-S452</f>
        <v>41.7</v>
      </c>
    </row>
    <row r="453" spans="1:20" x14ac:dyDescent="0.35">
      <c r="A453" s="14" t="s">
        <v>62</v>
      </c>
      <c r="B453" s="15" t="s">
        <v>63</v>
      </c>
      <c r="C453" s="15" t="s">
        <v>64</v>
      </c>
      <c r="D453" s="15" t="s">
        <v>100</v>
      </c>
      <c r="E453" s="15" t="s">
        <v>90</v>
      </c>
      <c r="F453" s="15" t="s">
        <v>67</v>
      </c>
      <c r="G453" s="15" t="s">
        <v>74</v>
      </c>
      <c r="H453" s="15" t="s">
        <v>71</v>
      </c>
      <c r="I453" s="16">
        <v>26560</v>
      </c>
      <c r="J453" s="16">
        <v>25382</v>
      </c>
      <c r="K453" s="16">
        <v>26056</v>
      </c>
      <c r="L453" s="17">
        <v>216.2</v>
      </c>
      <c r="M453" s="17">
        <v>22.7</v>
      </c>
      <c r="N453" s="17">
        <f t="shared" si="21"/>
        <v>193.5</v>
      </c>
      <c r="O453" s="17">
        <v>176.2</v>
      </c>
      <c r="P453" s="17">
        <v>189.1</v>
      </c>
      <c r="Q453" s="17">
        <v>122.4</v>
      </c>
      <c r="R453" s="17">
        <f t="shared" si="22"/>
        <v>71.099999999999994</v>
      </c>
      <c r="S453" s="17">
        <v>112.4</v>
      </c>
      <c r="T453" s="17">
        <f t="shared" si="23"/>
        <v>63.799999999999983</v>
      </c>
    </row>
    <row r="454" spans="1:20" x14ac:dyDescent="0.35">
      <c r="A454" s="14" t="s">
        <v>62</v>
      </c>
      <c r="B454" s="15" t="s">
        <v>63</v>
      </c>
      <c r="C454" s="15" t="s">
        <v>64</v>
      </c>
      <c r="D454" s="15" t="s">
        <v>100</v>
      </c>
      <c r="E454" s="15" t="s">
        <v>90</v>
      </c>
      <c r="F454" s="15" t="s">
        <v>67</v>
      </c>
      <c r="G454" s="15" t="s">
        <v>75</v>
      </c>
      <c r="H454" s="15" t="s">
        <v>71</v>
      </c>
      <c r="I454" s="16">
        <v>19069</v>
      </c>
      <c r="J454" s="16">
        <v>18106</v>
      </c>
      <c r="K454" s="16">
        <v>18843</v>
      </c>
      <c r="L454" s="17">
        <v>156</v>
      </c>
      <c r="M454" s="17">
        <v>17.100000000000001</v>
      </c>
      <c r="N454" s="17">
        <f t="shared" si="21"/>
        <v>138.9</v>
      </c>
      <c r="O454" s="17">
        <v>126.4</v>
      </c>
      <c r="P454" s="17">
        <v>136.4</v>
      </c>
      <c r="Q454" s="17">
        <v>86</v>
      </c>
      <c r="R454" s="17">
        <f t="shared" si="22"/>
        <v>52.900000000000006</v>
      </c>
      <c r="S454" s="17">
        <v>79.7</v>
      </c>
      <c r="T454" s="17">
        <f t="shared" si="23"/>
        <v>46.7</v>
      </c>
    </row>
    <row r="455" spans="1:20" x14ac:dyDescent="0.35">
      <c r="A455" s="14" t="s">
        <v>62</v>
      </c>
      <c r="B455" s="15" t="s">
        <v>63</v>
      </c>
      <c r="C455" s="15" t="s">
        <v>64</v>
      </c>
      <c r="D455" s="15" t="s">
        <v>100</v>
      </c>
      <c r="E455" s="15" t="s">
        <v>90</v>
      </c>
      <c r="F455" s="15" t="s">
        <v>67</v>
      </c>
      <c r="G455" s="15" t="s">
        <v>76</v>
      </c>
      <c r="H455" s="15" t="s">
        <v>72</v>
      </c>
      <c r="I455" s="16">
        <v>3985</v>
      </c>
      <c r="J455" s="16">
        <v>3730</v>
      </c>
      <c r="K455" s="16">
        <v>3929</v>
      </c>
      <c r="L455" s="17">
        <v>55.7</v>
      </c>
      <c r="M455" s="17">
        <v>6</v>
      </c>
      <c r="N455" s="17">
        <f t="shared" si="21"/>
        <v>49.7</v>
      </c>
      <c r="O455" s="17">
        <v>44.7</v>
      </c>
      <c r="P455" s="17">
        <v>48.4</v>
      </c>
      <c r="Q455" s="17">
        <v>31.2</v>
      </c>
      <c r="R455" s="17">
        <f t="shared" si="22"/>
        <v>18.500000000000004</v>
      </c>
      <c r="S455" s="17">
        <v>28.7</v>
      </c>
      <c r="T455" s="17">
        <f t="shared" si="23"/>
        <v>16.000000000000004</v>
      </c>
    </row>
    <row r="456" spans="1:20" x14ac:dyDescent="0.35">
      <c r="A456" s="14" t="s">
        <v>62</v>
      </c>
      <c r="B456" s="15" t="s">
        <v>63</v>
      </c>
      <c r="C456" s="15" t="s">
        <v>64</v>
      </c>
      <c r="D456" s="15" t="s">
        <v>100</v>
      </c>
      <c r="E456" s="15" t="s">
        <v>90</v>
      </c>
      <c r="F456" s="15" t="s">
        <v>67</v>
      </c>
      <c r="G456" s="15" t="s">
        <v>77</v>
      </c>
      <c r="H456" s="15" t="s">
        <v>71</v>
      </c>
      <c r="I456" s="16">
        <v>10156</v>
      </c>
      <c r="J456" s="16">
        <v>9633</v>
      </c>
      <c r="K456" s="16">
        <v>10075</v>
      </c>
      <c r="L456" s="17">
        <v>83.4</v>
      </c>
      <c r="M456" s="17">
        <v>9.9</v>
      </c>
      <c r="N456" s="17">
        <f t="shared" si="21"/>
        <v>73.5</v>
      </c>
      <c r="O456" s="17">
        <v>66.5</v>
      </c>
      <c r="P456" s="17">
        <v>71.5</v>
      </c>
      <c r="Q456" s="17">
        <v>46</v>
      </c>
      <c r="R456" s="17">
        <f t="shared" si="22"/>
        <v>27.5</v>
      </c>
      <c r="S456" s="17">
        <v>42.4</v>
      </c>
      <c r="T456" s="17">
        <f t="shared" si="23"/>
        <v>24.1</v>
      </c>
    </row>
    <row r="457" spans="1:20" x14ac:dyDescent="0.35">
      <c r="A457" s="14" t="s">
        <v>62</v>
      </c>
      <c r="B457" s="15" t="s">
        <v>63</v>
      </c>
      <c r="C457" s="15" t="s">
        <v>64</v>
      </c>
      <c r="D457" s="15" t="s">
        <v>100</v>
      </c>
      <c r="E457" s="15" t="s">
        <v>90</v>
      </c>
      <c r="F457" s="15" t="s">
        <v>67</v>
      </c>
      <c r="G457" s="15" t="s">
        <v>78</v>
      </c>
      <c r="H457" s="15" t="s">
        <v>71</v>
      </c>
      <c r="I457" s="16">
        <v>13729</v>
      </c>
      <c r="J457" s="16">
        <v>12917</v>
      </c>
      <c r="K457" s="16">
        <v>13549</v>
      </c>
      <c r="L457" s="17">
        <v>113.4</v>
      </c>
      <c r="M457" s="17">
        <v>12.6</v>
      </c>
      <c r="N457" s="17">
        <f t="shared" si="21"/>
        <v>100.80000000000001</v>
      </c>
      <c r="O457" s="17">
        <v>91.2</v>
      </c>
      <c r="P457" s="17">
        <v>97.4</v>
      </c>
      <c r="Q457" s="17">
        <v>63.8</v>
      </c>
      <c r="R457" s="17">
        <f t="shared" si="22"/>
        <v>37.000000000000014</v>
      </c>
      <c r="S457" s="17">
        <v>58.7</v>
      </c>
      <c r="T457" s="17">
        <f t="shared" si="23"/>
        <v>32.5</v>
      </c>
    </row>
    <row r="458" spans="1:20" x14ac:dyDescent="0.35">
      <c r="A458" s="14" t="s">
        <v>62</v>
      </c>
      <c r="B458" s="15" t="s">
        <v>63</v>
      </c>
      <c r="C458" s="15" t="s">
        <v>64</v>
      </c>
      <c r="D458" s="15" t="s">
        <v>100</v>
      </c>
      <c r="E458" s="15" t="s">
        <v>90</v>
      </c>
      <c r="F458" s="15" t="s">
        <v>79</v>
      </c>
      <c r="G458" s="15" t="s">
        <v>80</v>
      </c>
      <c r="H458" s="15" t="s">
        <v>71</v>
      </c>
      <c r="I458" s="16">
        <v>19966</v>
      </c>
      <c r="J458" s="16">
        <v>18557</v>
      </c>
      <c r="K458" s="16">
        <v>19541</v>
      </c>
      <c r="L458" s="17">
        <v>102.9</v>
      </c>
      <c r="M458" s="17">
        <v>11.5</v>
      </c>
      <c r="N458" s="17">
        <f t="shared" si="21"/>
        <v>91.4</v>
      </c>
      <c r="O458" s="17">
        <v>80.599999999999994</v>
      </c>
      <c r="P458" s="17">
        <v>89.8</v>
      </c>
      <c r="Q458" s="17">
        <v>55.8</v>
      </c>
      <c r="R458" s="17">
        <f t="shared" si="22"/>
        <v>35.600000000000009</v>
      </c>
      <c r="S458" s="17">
        <v>49.6</v>
      </c>
      <c r="T458" s="17">
        <f t="shared" si="23"/>
        <v>30.999999999999993</v>
      </c>
    </row>
    <row r="459" spans="1:20" x14ac:dyDescent="0.35">
      <c r="A459" s="14" t="s">
        <v>62</v>
      </c>
      <c r="B459" s="15" t="s">
        <v>63</v>
      </c>
      <c r="C459" s="15" t="s">
        <v>64</v>
      </c>
      <c r="D459" s="15" t="s">
        <v>100</v>
      </c>
      <c r="E459" s="15" t="s">
        <v>90</v>
      </c>
      <c r="F459" s="15" t="s">
        <v>81</v>
      </c>
      <c r="G459" s="15" t="s">
        <v>82</v>
      </c>
      <c r="H459" s="15" t="s">
        <v>71</v>
      </c>
      <c r="I459" s="16">
        <v>5861</v>
      </c>
      <c r="J459" s="16">
        <v>5358</v>
      </c>
      <c r="K459" s="16">
        <v>5783</v>
      </c>
      <c r="L459" s="17">
        <v>65.8</v>
      </c>
      <c r="M459" s="17">
        <v>7.6</v>
      </c>
      <c r="N459" s="17">
        <f t="shared" si="21"/>
        <v>58.199999999999996</v>
      </c>
      <c r="O459" s="17">
        <v>50.5</v>
      </c>
      <c r="P459" s="17">
        <v>56.6</v>
      </c>
      <c r="Q459" s="17">
        <v>35.799999999999997</v>
      </c>
      <c r="R459" s="17">
        <f t="shared" si="22"/>
        <v>22.4</v>
      </c>
      <c r="S459" s="17">
        <v>31.7</v>
      </c>
      <c r="T459" s="17">
        <f t="shared" si="23"/>
        <v>18.8</v>
      </c>
    </row>
    <row r="460" spans="1:20" x14ac:dyDescent="0.35">
      <c r="A460" s="14" t="s">
        <v>62</v>
      </c>
      <c r="B460" s="15" t="s">
        <v>63</v>
      </c>
      <c r="C460" s="15" t="s">
        <v>64</v>
      </c>
      <c r="D460" s="15" t="s">
        <v>100</v>
      </c>
      <c r="E460" s="15" t="s">
        <v>90</v>
      </c>
      <c r="F460" s="15" t="s">
        <v>83</v>
      </c>
      <c r="G460" s="15" t="s">
        <v>84</v>
      </c>
      <c r="H460" s="15" t="s">
        <v>72</v>
      </c>
      <c r="I460" s="16">
        <v>3171</v>
      </c>
      <c r="J460" s="16">
        <v>2595</v>
      </c>
      <c r="K460" s="16">
        <v>3141</v>
      </c>
      <c r="L460" s="17">
        <v>110</v>
      </c>
      <c r="M460" s="17">
        <v>11.1</v>
      </c>
      <c r="N460" s="17">
        <f t="shared" si="21"/>
        <v>98.9</v>
      </c>
      <c r="O460" s="17">
        <v>77.5</v>
      </c>
      <c r="P460" s="17">
        <v>95.7</v>
      </c>
      <c r="Q460" s="17">
        <v>58.2</v>
      </c>
      <c r="R460" s="17">
        <f t="shared" si="22"/>
        <v>40.700000000000003</v>
      </c>
      <c r="S460" s="17">
        <v>46.7</v>
      </c>
      <c r="T460" s="17">
        <f t="shared" si="23"/>
        <v>30.799999999999997</v>
      </c>
    </row>
    <row r="461" spans="1:20" x14ac:dyDescent="0.35">
      <c r="A461" s="14" t="s">
        <v>62</v>
      </c>
      <c r="B461" s="15" t="s">
        <v>63</v>
      </c>
      <c r="C461" s="15" t="s">
        <v>64</v>
      </c>
      <c r="D461" s="15" t="s">
        <v>100</v>
      </c>
      <c r="E461" s="15" t="s">
        <v>90</v>
      </c>
      <c r="F461" s="15" t="s">
        <v>85</v>
      </c>
      <c r="G461" s="15" t="s">
        <v>86</v>
      </c>
      <c r="H461" s="15" t="s">
        <v>72</v>
      </c>
      <c r="I461" s="16">
        <v>3044</v>
      </c>
      <c r="J461" s="16">
        <v>2823</v>
      </c>
      <c r="K461" s="16">
        <v>2992</v>
      </c>
      <c r="L461" s="17">
        <v>63.5</v>
      </c>
      <c r="M461" s="17">
        <v>6.9</v>
      </c>
      <c r="N461" s="17">
        <f t="shared" si="21"/>
        <v>56.6</v>
      </c>
      <c r="O461" s="17">
        <v>50.5</v>
      </c>
      <c r="P461" s="17">
        <v>55.5</v>
      </c>
      <c r="Q461" s="17">
        <v>37.799999999999997</v>
      </c>
      <c r="R461" s="17">
        <f t="shared" si="22"/>
        <v>18.800000000000004</v>
      </c>
      <c r="S461" s="17">
        <v>33.9</v>
      </c>
      <c r="T461" s="17">
        <f t="shared" si="23"/>
        <v>16.600000000000001</v>
      </c>
    </row>
    <row r="462" spans="1:20" x14ac:dyDescent="0.35">
      <c r="A462" s="14" t="s">
        <v>62</v>
      </c>
      <c r="B462" s="15" t="s">
        <v>63</v>
      </c>
      <c r="C462" s="15" t="s">
        <v>64</v>
      </c>
      <c r="D462" s="15" t="s">
        <v>100</v>
      </c>
      <c r="E462" s="15" t="s">
        <v>91</v>
      </c>
      <c r="F462" s="15" t="s">
        <v>67</v>
      </c>
      <c r="G462" s="15" t="s">
        <v>68</v>
      </c>
      <c r="H462" s="15" t="s">
        <v>69</v>
      </c>
      <c r="I462" s="16">
        <v>23417</v>
      </c>
      <c r="J462" s="16">
        <v>21981</v>
      </c>
      <c r="K462" s="16">
        <v>23196</v>
      </c>
      <c r="L462" s="17">
        <v>153.6</v>
      </c>
      <c r="M462" s="17">
        <v>8.1</v>
      </c>
      <c r="N462" s="17">
        <f t="shared" si="21"/>
        <v>145.5</v>
      </c>
      <c r="O462" s="17">
        <v>130</v>
      </c>
      <c r="P462" s="17">
        <v>141.4</v>
      </c>
      <c r="Q462" s="17">
        <v>78.2</v>
      </c>
      <c r="R462" s="17">
        <f t="shared" si="22"/>
        <v>67.3</v>
      </c>
      <c r="S462" s="17">
        <v>70.5</v>
      </c>
      <c r="T462" s="17">
        <f t="shared" si="23"/>
        <v>59.5</v>
      </c>
    </row>
    <row r="463" spans="1:20" x14ac:dyDescent="0.35">
      <c r="A463" s="14" t="s">
        <v>62</v>
      </c>
      <c r="B463" s="15" t="s">
        <v>63</v>
      </c>
      <c r="C463" s="15" t="s">
        <v>64</v>
      </c>
      <c r="D463" s="15" t="s">
        <v>100</v>
      </c>
      <c r="E463" s="15" t="s">
        <v>91</v>
      </c>
      <c r="F463" s="15" t="s">
        <v>67</v>
      </c>
      <c r="G463" s="15" t="s">
        <v>68</v>
      </c>
      <c r="H463" s="15" t="s">
        <v>70</v>
      </c>
      <c r="I463" s="16">
        <v>11464</v>
      </c>
      <c r="J463" s="16">
        <v>10379</v>
      </c>
      <c r="K463" s="16">
        <v>11261</v>
      </c>
      <c r="L463" s="17">
        <v>91.4</v>
      </c>
      <c r="M463" s="17">
        <v>4.3</v>
      </c>
      <c r="N463" s="17">
        <f t="shared" si="21"/>
        <v>87.100000000000009</v>
      </c>
      <c r="O463" s="17">
        <v>75.900000000000006</v>
      </c>
      <c r="P463" s="17">
        <v>85.2</v>
      </c>
      <c r="Q463" s="17">
        <v>49.1</v>
      </c>
      <c r="R463" s="17">
        <f t="shared" si="22"/>
        <v>38.000000000000007</v>
      </c>
      <c r="S463" s="17">
        <v>43.7</v>
      </c>
      <c r="T463" s="17">
        <f t="shared" si="23"/>
        <v>32.200000000000003</v>
      </c>
    </row>
    <row r="464" spans="1:20" x14ac:dyDescent="0.35">
      <c r="A464" s="14" t="s">
        <v>62</v>
      </c>
      <c r="B464" s="15" t="s">
        <v>63</v>
      </c>
      <c r="C464" s="15" t="s">
        <v>64</v>
      </c>
      <c r="D464" s="15" t="s">
        <v>100</v>
      </c>
      <c r="E464" s="15" t="s">
        <v>91</v>
      </c>
      <c r="F464" s="15" t="s">
        <v>67</v>
      </c>
      <c r="G464" s="15" t="s">
        <v>68</v>
      </c>
      <c r="H464" s="15" t="s">
        <v>71</v>
      </c>
      <c r="I464" s="16">
        <v>20803</v>
      </c>
      <c r="J464" s="16">
        <v>19181</v>
      </c>
      <c r="K464" s="16">
        <v>20506</v>
      </c>
      <c r="L464" s="17">
        <v>206.2</v>
      </c>
      <c r="M464" s="17">
        <v>11</v>
      </c>
      <c r="N464" s="17">
        <f t="shared" si="21"/>
        <v>195.2</v>
      </c>
      <c r="O464" s="17">
        <v>173</v>
      </c>
      <c r="P464" s="17">
        <v>189.6</v>
      </c>
      <c r="Q464" s="17">
        <v>118.5</v>
      </c>
      <c r="R464" s="17">
        <f t="shared" si="22"/>
        <v>76.699999999999989</v>
      </c>
      <c r="S464" s="17">
        <v>105.9</v>
      </c>
      <c r="T464" s="17">
        <f t="shared" si="23"/>
        <v>67.099999999999994</v>
      </c>
    </row>
    <row r="465" spans="1:20" x14ac:dyDescent="0.35">
      <c r="A465" s="14" t="s">
        <v>62</v>
      </c>
      <c r="B465" s="15" t="s">
        <v>63</v>
      </c>
      <c r="C465" s="15" t="s">
        <v>64</v>
      </c>
      <c r="D465" s="15" t="s">
        <v>100</v>
      </c>
      <c r="E465" s="15" t="s">
        <v>91</v>
      </c>
      <c r="F465" s="15" t="s">
        <v>67</v>
      </c>
      <c r="G465" s="15" t="s">
        <v>68</v>
      </c>
      <c r="H465" s="15" t="s">
        <v>72</v>
      </c>
      <c r="I465" s="16">
        <v>9730</v>
      </c>
      <c r="J465" s="16">
        <v>8757</v>
      </c>
      <c r="K465" s="16">
        <v>9557</v>
      </c>
      <c r="L465" s="17">
        <v>132.5</v>
      </c>
      <c r="M465" s="17">
        <v>7.1</v>
      </c>
      <c r="N465" s="17">
        <f t="shared" si="21"/>
        <v>125.4</v>
      </c>
      <c r="O465" s="17">
        <v>108.5</v>
      </c>
      <c r="P465" s="17">
        <v>123</v>
      </c>
      <c r="Q465" s="17">
        <v>80.099999999999994</v>
      </c>
      <c r="R465" s="17">
        <f t="shared" si="22"/>
        <v>45.300000000000011</v>
      </c>
      <c r="S465" s="17">
        <v>70</v>
      </c>
      <c r="T465" s="17">
        <f t="shared" si="23"/>
        <v>38.5</v>
      </c>
    </row>
    <row r="466" spans="1:20" x14ac:dyDescent="0.35">
      <c r="A466" s="14" t="s">
        <v>62</v>
      </c>
      <c r="B466" s="15" t="s">
        <v>63</v>
      </c>
      <c r="C466" s="15" t="s">
        <v>64</v>
      </c>
      <c r="D466" s="15" t="s">
        <v>100</v>
      </c>
      <c r="E466" s="15" t="s">
        <v>91</v>
      </c>
      <c r="F466" s="15" t="s">
        <v>67</v>
      </c>
      <c r="G466" s="15" t="s">
        <v>73</v>
      </c>
      <c r="H466" s="15" t="s">
        <v>71</v>
      </c>
      <c r="I466" s="16">
        <v>4850</v>
      </c>
      <c r="J466" s="16">
        <v>4082</v>
      </c>
      <c r="K466" s="16">
        <v>4796</v>
      </c>
      <c r="L466" s="17">
        <v>49.6</v>
      </c>
      <c r="M466" s="17">
        <v>2.9</v>
      </c>
      <c r="N466" s="17">
        <f t="shared" si="21"/>
        <v>46.7</v>
      </c>
      <c r="O466" s="17">
        <v>37.799999999999997</v>
      </c>
      <c r="P466" s="17">
        <v>45.6</v>
      </c>
      <c r="Q466" s="17">
        <v>28.6</v>
      </c>
      <c r="R466" s="17">
        <f t="shared" si="22"/>
        <v>18.100000000000001</v>
      </c>
      <c r="S466" s="17">
        <v>23.7</v>
      </c>
      <c r="T466" s="17">
        <f t="shared" si="23"/>
        <v>14.099999999999998</v>
      </c>
    </row>
    <row r="467" spans="1:20" x14ac:dyDescent="0.35">
      <c r="A467" s="14" t="s">
        <v>62</v>
      </c>
      <c r="B467" s="15" t="s">
        <v>63</v>
      </c>
      <c r="C467" s="15" t="s">
        <v>64</v>
      </c>
      <c r="D467" s="15" t="s">
        <v>100</v>
      </c>
      <c r="E467" s="15" t="s">
        <v>91</v>
      </c>
      <c r="F467" s="15" t="s">
        <v>67</v>
      </c>
      <c r="G467" s="15" t="s">
        <v>73</v>
      </c>
      <c r="H467" s="15" t="s">
        <v>72</v>
      </c>
      <c r="I467" s="16">
        <v>3637</v>
      </c>
      <c r="J467" s="16">
        <v>3035</v>
      </c>
      <c r="K467" s="16">
        <v>3591</v>
      </c>
      <c r="L467" s="17">
        <v>47.6</v>
      </c>
      <c r="M467" s="17">
        <v>2.5</v>
      </c>
      <c r="N467" s="17">
        <f t="shared" si="21"/>
        <v>45.1</v>
      </c>
      <c r="O467" s="17">
        <v>35.700000000000003</v>
      </c>
      <c r="P467" s="17">
        <v>44.4</v>
      </c>
      <c r="Q467" s="17">
        <v>29.5</v>
      </c>
      <c r="R467" s="17">
        <f t="shared" si="22"/>
        <v>15.600000000000001</v>
      </c>
      <c r="S467" s="17">
        <v>23.6</v>
      </c>
      <c r="T467" s="17">
        <f t="shared" si="23"/>
        <v>12.100000000000001</v>
      </c>
    </row>
    <row r="468" spans="1:20" x14ac:dyDescent="0.35">
      <c r="A468" s="14" t="s">
        <v>62</v>
      </c>
      <c r="B468" s="15" t="s">
        <v>63</v>
      </c>
      <c r="C468" s="15" t="s">
        <v>64</v>
      </c>
      <c r="D468" s="15" t="s">
        <v>100</v>
      </c>
      <c r="E468" s="15" t="s">
        <v>91</v>
      </c>
      <c r="F468" s="15" t="s">
        <v>67</v>
      </c>
      <c r="G468" s="15" t="s">
        <v>74</v>
      </c>
      <c r="H468" s="15" t="s">
        <v>70</v>
      </c>
      <c r="I468" s="16">
        <v>4547</v>
      </c>
      <c r="J468" s="16">
        <v>4118</v>
      </c>
      <c r="K468" s="16">
        <v>4468</v>
      </c>
      <c r="L468" s="17">
        <v>35.5</v>
      </c>
      <c r="M468" s="17">
        <v>1.9</v>
      </c>
      <c r="N468" s="17">
        <f t="shared" si="21"/>
        <v>33.6</v>
      </c>
      <c r="O468" s="17">
        <v>29.3</v>
      </c>
      <c r="P468" s="17">
        <v>32.799999999999997</v>
      </c>
      <c r="Q468" s="17">
        <v>19.5</v>
      </c>
      <c r="R468" s="17">
        <f t="shared" si="22"/>
        <v>14.100000000000001</v>
      </c>
      <c r="S468" s="17">
        <v>17.3</v>
      </c>
      <c r="T468" s="17">
        <f t="shared" si="23"/>
        <v>12</v>
      </c>
    </row>
    <row r="469" spans="1:20" x14ac:dyDescent="0.35">
      <c r="A469" s="14" t="s">
        <v>62</v>
      </c>
      <c r="B469" s="15" t="s">
        <v>63</v>
      </c>
      <c r="C469" s="15" t="s">
        <v>64</v>
      </c>
      <c r="D469" s="15" t="s">
        <v>100</v>
      </c>
      <c r="E469" s="15" t="s">
        <v>91</v>
      </c>
      <c r="F469" s="15" t="s">
        <v>67</v>
      </c>
      <c r="G469" s="15" t="s">
        <v>74</v>
      </c>
      <c r="H469" s="15" t="s">
        <v>71</v>
      </c>
      <c r="I469" s="16">
        <v>8582</v>
      </c>
      <c r="J469" s="16">
        <v>7756</v>
      </c>
      <c r="K469" s="16">
        <v>8442</v>
      </c>
      <c r="L469" s="17">
        <v>80.599999999999994</v>
      </c>
      <c r="M469" s="17">
        <v>4.5</v>
      </c>
      <c r="N469" s="17">
        <f t="shared" si="21"/>
        <v>76.099999999999994</v>
      </c>
      <c r="O469" s="17">
        <v>66.2</v>
      </c>
      <c r="P469" s="17">
        <v>73.8</v>
      </c>
      <c r="Q469" s="17">
        <v>47.4</v>
      </c>
      <c r="R469" s="17">
        <f t="shared" si="22"/>
        <v>28.699999999999996</v>
      </c>
      <c r="S469" s="17">
        <v>42</v>
      </c>
      <c r="T469" s="17">
        <f t="shared" si="23"/>
        <v>24.200000000000003</v>
      </c>
    </row>
    <row r="470" spans="1:20" x14ac:dyDescent="0.35">
      <c r="A470" s="14" t="s">
        <v>62</v>
      </c>
      <c r="B470" s="15" t="s">
        <v>63</v>
      </c>
      <c r="C470" s="15" t="s">
        <v>64</v>
      </c>
      <c r="D470" s="15" t="s">
        <v>100</v>
      </c>
      <c r="E470" s="15" t="s">
        <v>91</v>
      </c>
      <c r="F470" s="15" t="s">
        <v>67</v>
      </c>
      <c r="G470" s="15" t="s">
        <v>75</v>
      </c>
      <c r="H470" s="15" t="s">
        <v>71</v>
      </c>
      <c r="I470" s="16">
        <v>6401</v>
      </c>
      <c r="J470" s="16">
        <v>5802</v>
      </c>
      <c r="K470" s="16">
        <v>6320</v>
      </c>
      <c r="L470" s="17">
        <v>63.2</v>
      </c>
      <c r="M470" s="17">
        <v>3.4</v>
      </c>
      <c r="N470" s="17">
        <f t="shared" si="21"/>
        <v>59.800000000000004</v>
      </c>
      <c r="O470" s="17">
        <v>52.2</v>
      </c>
      <c r="P470" s="17">
        <v>58.8</v>
      </c>
      <c r="Q470" s="17">
        <v>37.200000000000003</v>
      </c>
      <c r="R470" s="17">
        <f t="shared" si="22"/>
        <v>22.6</v>
      </c>
      <c r="S470" s="17">
        <v>33.200000000000003</v>
      </c>
      <c r="T470" s="17">
        <f t="shared" si="23"/>
        <v>19</v>
      </c>
    </row>
    <row r="471" spans="1:20" x14ac:dyDescent="0.35">
      <c r="A471" s="14" t="s">
        <v>62</v>
      </c>
      <c r="B471" s="15" t="s">
        <v>63</v>
      </c>
      <c r="C471" s="15" t="s">
        <v>64</v>
      </c>
      <c r="D471" s="15" t="s">
        <v>100</v>
      </c>
      <c r="E471" s="15" t="s">
        <v>91</v>
      </c>
      <c r="F471" s="15" t="s">
        <v>67</v>
      </c>
      <c r="G471" s="15" t="s">
        <v>76</v>
      </c>
      <c r="H471" s="15" t="s">
        <v>72</v>
      </c>
      <c r="I471" s="16">
        <v>7388</v>
      </c>
      <c r="J471" s="16">
        <v>6553</v>
      </c>
      <c r="K471" s="16">
        <v>7270</v>
      </c>
      <c r="L471" s="17">
        <v>119.9</v>
      </c>
      <c r="M471" s="17">
        <v>6.3</v>
      </c>
      <c r="N471" s="17">
        <f t="shared" si="21"/>
        <v>113.60000000000001</v>
      </c>
      <c r="O471" s="17">
        <v>95.7</v>
      </c>
      <c r="P471" s="17">
        <v>111.8</v>
      </c>
      <c r="Q471" s="17">
        <v>70.7</v>
      </c>
      <c r="R471" s="17">
        <f t="shared" si="22"/>
        <v>42.900000000000006</v>
      </c>
      <c r="S471" s="17">
        <v>60.9</v>
      </c>
      <c r="T471" s="17">
        <f t="shared" si="23"/>
        <v>34.800000000000004</v>
      </c>
    </row>
    <row r="472" spans="1:20" x14ac:dyDescent="0.35">
      <c r="A472" s="14" t="s">
        <v>62</v>
      </c>
      <c r="B472" s="15" t="s">
        <v>63</v>
      </c>
      <c r="C472" s="15" t="s">
        <v>64</v>
      </c>
      <c r="D472" s="15" t="s">
        <v>100</v>
      </c>
      <c r="E472" s="15" t="s">
        <v>91</v>
      </c>
      <c r="F472" s="15" t="s">
        <v>67</v>
      </c>
      <c r="G472" s="15" t="s">
        <v>77</v>
      </c>
      <c r="H472" s="15" t="s">
        <v>71</v>
      </c>
      <c r="I472" s="16">
        <v>3245</v>
      </c>
      <c r="J472" s="16">
        <v>2996</v>
      </c>
      <c r="K472" s="16">
        <v>3194</v>
      </c>
      <c r="L472" s="17">
        <v>31.5</v>
      </c>
      <c r="M472" s="17">
        <v>1.6</v>
      </c>
      <c r="N472" s="17">
        <f t="shared" si="21"/>
        <v>29.9</v>
      </c>
      <c r="O472" s="17">
        <v>26.4</v>
      </c>
      <c r="P472" s="17">
        <v>29.3</v>
      </c>
      <c r="Q472" s="17">
        <v>18.3</v>
      </c>
      <c r="R472" s="17">
        <f t="shared" si="22"/>
        <v>11.599999999999998</v>
      </c>
      <c r="S472" s="17">
        <v>16.399999999999999</v>
      </c>
      <c r="T472" s="17">
        <f t="shared" si="23"/>
        <v>10</v>
      </c>
    </row>
    <row r="473" spans="1:20" x14ac:dyDescent="0.35">
      <c r="A473" s="14" t="s">
        <v>62</v>
      </c>
      <c r="B473" s="15" t="s">
        <v>63</v>
      </c>
      <c r="C473" s="15" t="s">
        <v>64</v>
      </c>
      <c r="D473" s="15" t="s">
        <v>100</v>
      </c>
      <c r="E473" s="15" t="s">
        <v>91</v>
      </c>
      <c r="F473" s="15" t="s">
        <v>67</v>
      </c>
      <c r="G473" s="15" t="s">
        <v>78</v>
      </c>
      <c r="H473" s="15" t="s">
        <v>71</v>
      </c>
      <c r="I473" s="16">
        <v>3862</v>
      </c>
      <c r="J473" s="16">
        <v>3554</v>
      </c>
      <c r="K473" s="16">
        <v>3775</v>
      </c>
      <c r="L473" s="17">
        <v>35.299999999999997</v>
      </c>
      <c r="M473" s="17">
        <v>1.9</v>
      </c>
      <c r="N473" s="17">
        <f t="shared" si="21"/>
        <v>33.4</v>
      </c>
      <c r="O473" s="17">
        <v>29.5</v>
      </c>
      <c r="P473" s="17">
        <v>32.700000000000003</v>
      </c>
      <c r="Q473" s="17">
        <v>20.399999999999999</v>
      </c>
      <c r="R473" s="17">
        <f t="shared" si="22"/>
        <v>13</v>
      </c>
      <c r="S473" s="17">
        <v>18.399999999999999</v>
      </c>
      <c r="T473" s="17">
        <f t="shared" si="23"/>
        <v>11.100000000000001</v>
      </c>
    </row>
    <row r="474" spans="1:20" x14ac:dyDescent="0.35">
      <c r="A474" s="14" t="s">
        <v>62</v>
      </c>
      <c r="B474" s="15" t="s">
        <v>63</v>
      </c>
      <c r="C474" s="15" t="s">
        <v>64</v>
      </c>
      <c r="D474" s="15" t="s">
        <v>100</v>
      </c>
      <c r="E474" s="15" t="s">
        <v>91</v>
      </c>
      <c r="F474" s="15" t="s">
        <v>79</v>
      </c>
      <c r="G474" s="15" t="s">
        <v>80</v>
      </c>
      <c r="H474" s="15" t="s">
        <v>71</v>
      </c>
      <c r="I474" s="16">
        <v>6186</v>
      </c>
      <c r="J474" s="16">
        <v>5602</v>
      </c>
      <c r="K474" s="16">
        <v>6125</v>
      </c>
      <c r="L474" s="17">
        <v>38.1</v>
      </c>
      <c r="M474" s="17">
        <v>2.1</v>
      </c>
      <c r="N474" s="17">
        <f t="shared" si="21"/>
        <v>36</v>
      </c>
      <c r="O474" s="17">
        <v>31.3</v>
      </c>
      <c r="P474" s="17">
        <v>34.9</v>
      </c>
      <c r="Q474" s="17">
        <v>21.1</v>
      </c>
      <c r="R474" s="17">
        <f t="shared" si="22"/>
        <v>14.899999999999999</v>
      </c>
      <c r="S474" s="17">
        <v>18.8</v>
      </c>
      <c r="T474" s="17">
        <f t="shared" si="23"/>
        <v>12.5</v>
      </c>
    </row>
    <row r="475" spans="1:20" x14ac:dyDescent="0.35">
      <c r="A475" s="14" t="s">
        <v>62</v>
      </c>
      <c r="B475" s="15" t="s">
        <v>63</v>
      </c>
      <c r="C475" s="15" t="s">
        <v>64</v>
      </c>
      <c r="D475" s="15" t="s">
        <v>100</v>
      </c>
      <c r="E475" s="15" t="s">
        <v>91</v>
      </c>
      <c r="F475" s="15" t="s">
        <v>81</v>
      </c>
      <c r="G475" s="15" t="s">
        <v>82</v>
      </c>
      <c r="H475" s="15" t="s">
        <v>71</v>
      </c>
      <c r="I475" s="16">
        <v>2049</v>
      </c>
      <c r="J475" s="16">
        <v>1821</v>
      </c>
      <c r="K475" s="16">
        <v>2013</v>
      </c>
      <c r="L475" s="17">
        <v>26.2</v>
      </c>
      <c r="M475" s="17">
        <v>1.1000000000000001</v>
      </c>
      <c r="N475" s="17">
        <f t="shared" si="21"/>
        <v>25.099999999999998</v>
      </c>
      <c r="O475" s="17">
        <v>21.3</v>
      </c>
      <c r="P475" s="17">
        <v>24.4</v>
      </c>
      <c r="Q475" s="17">
        <v>15.5</v>
      </c>
      <c r="R475" s="17">
        <f t="shared" si="22"/>
        <v>9.5999999999999979</v>
      </c>
      <c r="S475" s="17">
        <v>13.3</v>
      </c>
      <c r="T475" s="17">
        <f t="shared" si="23"/>
        <v>8</v>
      </c>
    </row>
    <row r="476" spans="1:20" x14ac:dyDescent="0.35">
      <c r="A476" s="14" t="s">
        <v>62</v>
      </c>
      <c r="B476" s="15" t="s">
        <v>63</v>
      </c>
      <c r="C476" s="15" t="s">
        <v>64</v>
      </c>
      <c r="D476" s="15" t="s">
        <v>100</v>
      </c>
      <c r="E476" s="15" t="s">
        <v>91</v>
      </c>
      <c r="F476" s="15" t="s">
        <v>83</v>
      </c>
      <c r="G476" s="15" t="s">
        <v>84</v>
      </c>
      <c r="H476" s="15" t="s">
        <v>72</v>
      </c>
      <c r="I476" s="16">
        <v>1876</v>
      </c>
      <c r="J476" s="16">
        <v>1496</v>
      </c>
      <c r="K476" s="16">
        <v>1847</v>
      </c>
      <c r="L476" s="17">
        <v>76.599999999999994</v>
      </c>
      <c r="M476" s="17">
        <v>4.4000000000000004</v>
      </c>
      <c r="N476" s="17">
        <f t="shared" si="21"/>
        <v>72.199999999999989</v>
      </c>
      <c r="O476" s="17">
        <v>55.4</v>
      </c>
      <c r="P476" s="17">
        <v>71</v>
      </c>
      <c r="Q476" s="17">
        <v>42</v>
      </c>
      <c r="R476" s="17">
        <f t="shared" si="22"/>
        <v>30.199999999999989</v>
      </c>
      <c r="S476" s="17">
        <v>32.799999999999997</v>
      </c>
      <c r="T476" s="17">
        <f t="shared" si="23"/>
        <v>22.6</v>
      </c>
    </row>
    <row r="477" spans="1:20" x14ac:dyDescent="0.35">
      <c r="A477" s="14" t="s">
        <v>62</v>
      </c>
      <c r="B477" s="15" t="s">
        <v>63</v>
      </c>
      <c r="C477" s="15" t="s">
        <v>64</v>
      </c>
      <c r="D477" s="15" t="s">
        <v>100</v>
      </c>
      <c r="E477" s="15" t="s">
        <v>91</v>
      </c>
      <c r="F477" s="15" t="s">
        <v>85</v>
      </c>
      <c r="G477" s="15" t="s">
        <v>86</v>
      </c>
      <c r="H477" s="15" t="s">
        <v>72</v>
      </c>
      <c r="I477" s="16">
        <v>1823</v>
      </c>
      <c r="J477" s="16">
        <v>1620</v>
      </c>
      <c r="K477" s="16">
        <v>1788</v>
      </c>
      <c r="L477" s="17">
        <v>45.6</v>
      </c>
      <c r="M477" s="17">
        <v>2.7</v>
      </c>
      <c r="N477" s="17">
        <f t="shared" si="21"/>
        <v>42.9</v>
      </c>
      <c r="O477" s="17">
        <v>36.200000000000003</v>
      </c>
      <c r="P477" s="17">
        <v>41.9</v>
      </c>
      <c r="Q477" s="17">
        <v>28</v>
      </c>
      <c r="R477" s="17">
        <f t="shared" si="22"/>
        <v>14.899999999999999</v>
      </c>
      <c r="S477" s="17">
        <v>24.1</v>
      </c>
      <c r="T477" s="17">
        <f t="shared" si="23"/>
        <v>12.100000000000001</v>
      </c>
    </row>
    <row r="478" spans="1:20" x14ac:dyDescent="0.35">
      <c r="A478" s="14" t="s">
        <v>62</v>
      </c>
      <c r="B478" s="15" t="s">
        <v>63</v>
      </c>
      <c r="C478" s="15" t="s">
        <v>64</v>
      </c>
      <c r="D478" s="15" t="s">
        <v>100</v>
      </c>
      <c r="E478" s="15" t="s">
        <v>92</v>
      </c>
      <c r="F478" s="15" t="s">
        <v>67</v>
      </c>
      <c r="G478" s="15" t="s">
        <v>68</v>
      </c>
      <c r="H478" s="15" t="s">
        <v>69</v>
      </c>
      <c r="I478" s="16">
        <v>25661</v>
      </c>
      <c r="J478" s="16">
        <v>20247</v>
      </c>
      <c r="K478" s="16">
        <v>25398</v>
      </c>
      <c r="L478" s="17">
        <v>154.1</v>
      </c>
      <c r="M478" s="17">
        <v>13.1</v>
      </c>
      <c r="N478" s="17">
        <f t="shared" si="21"/>
        <v>141</v>
      </c>
      <c r="O478" s="17">
        <v>106.3</v>
      </c>
      <c r="P478" s="17">
        <v>137.6</v>
      </c>
      <c r="Q478" s="17">
        <v>77.3</v>
      </c>
      <c r="R478" s="17">
        <f t="shared" si="22"/>
        <v>63.7</v>
      </c>
      <c r="S478" s="17">
        <v>59.8</v>
      </c>
      <c r="T478" s="17">
        <f t="shared" si="23"/>
        <v>46.5</v>
      </c>
    </row>
    <row r="479" spans="1:20" x14ac:dyDescent="0.35">
      <c r="A479" s="14" t="s">
        <v>62</v>
      </c>
      <c r="B479" s="15" t="s">
        <v>63</v>
      </c>
      <c r="C479" s="15" t="s">
        <v>64</v>
      </c>
      <c r="D479" s="15" t="s">
        <v>100</v>
      </c>
      <c r="E479" s="15" t="s">
        <v>92</v>
      </c>
      <c r="F479" s="15" t="s">
        <v>67</v>
      </c>
      <c r="G479" s="15" t="s">
        <v>68</v>
      </c>
      <c r="H479" s="15" t="s">
        <v>70</v>
      </c>
      <c r="I479" s="16">
        <v>33632</v>
      </c>
      <c r="J479" s="16">
        <v>25906</v>
      </c>
      <c r="K479" s="16">
        <v>33161</v>
      </c>
      <c r="L479" s="17">
        <v>243.1</v>
      </c>
      <c r="M479" s="17">
        <v>20.8</v>
      </c>
      <c r="N479" s="17">
        <f t="shared" si="21"/>
        <v>222.29999999999998</v>
      </c>
      <c r="O479" s="17">
        <v>163.5</v>
      </c>
      <c r="P479" s="17">
        <v>215.6</v>
      </c>
      <c r="Q479" s="17">
        <v>126.2</v>
      </c>
      <c r="R479" s="17">
        <f t="shared" si="22"/>
        <v>96.09999999999998</v>
      </c>
      <c r="S479" s="17">
        <v>94.3</v>
      </c>
      <c r="T479" s="17">
        <f t="shared" si="23"/>
        <v>69.2</v>
      </c>
    </row>
    <row r="480" spans="1:20" x14ac:dyDescent="0.35">
      <c r="A480" s="14" t="s">
        <v>62</v>
      </c>
      <c r="B480" s="15" t="s">
        <v>63</v>
      </c>
      <c r="C480" s="15" t="s">
        <v>64</v>
      </c>
      <c r="D480" s="15" t="s">
        <v>100</v>
      </c>
      <c r="E480" s="15" t="s">
        <v>92</v>
      </c>
      <c r="F480" s="15" t="s">
        <v>67</v>
      </c>
      <c r="G480" s="15" t="s">
        <v>68</v>
      </c>
      <c r="H480" s="15" t="s">
        <v>71</v>
      </c>
      <c r="I480" s="16">
        <v>36208</v>
      </c>
      <c r="J480" s="16">
        <v>28226</v>
      </c>
      <c r="K480" s="16">
        <v>35921</v>
      </c>
      <c r="L480" s="17">
        <v>337.8</v>
      </c>
      <c r="M480" s="17">
        <v>28.9</v>
      </c>
      <c r="N480" s="17">
        <f t="shared" si="21"/>
        <v>308.90000000000003</v>
      </c>
      <c r="O480" s="17">
        <v>230.4</v>
      </c>
      <c r="P480" s="17">
        <v>298.7</v>
      </c>
      <c r="Q480" s="17">
        <v>193.5</v>
      </c>
      <c r="R480" s="17">
        <f t="shared" si="22"/>
        <v>115.40000000000003</v>
      </c>
      <c r="S480" s="17">
        <v>145.9</v>
      </c>
      <c r="T480" s="17">
        <f t="shared" si="23"/>
        <v>84.5</v>
      </c>
    </row>
    <row r="481" spans="1:20" x14ac:dyDescent="0.35">
      <c r="A481" s="14" t="s">
        <v>62</v>
      </c>
      <c r="B481" s="15" t="s">
        <v>63</v>
      </c>
      <c r="C481" s="15" t="s">
        <v>64</v>
      </c>
      <c r="D481" s="15" t="s">
        <v>100</v>
      </c>
      <c r="E481" s="15" t="s">
        <v>92</v>
      </c>
      <c r="F481" s="15" t="s">
        <v>67</v>
      </c>
      <c r="G481" s="15" t="s">
        <v>68</v>
      </c>
      <c r="H481" s="15" t="s">
        <v>72</v>
      </c>
      <c r="I481" s="16">
        <v>8868</v>
      </c>
      <c r="J481" s="16">
        <v>6924</v>
      </c>
      <c r="K481" s="16">
        <v>8786</v>
      </c>
      <c r="L481" s="17">
        <v>106.8</v>
      </c>
      <c r="M481" s="17">
        <v>7.6</v>
      </c>
      <c r="N481" s="17">
        <f t="shared" si="21"/>
        <v>99.2</v>
      </c>
      <c r="O481" s="17">
        <v>73.7</v>
      </c>
      <c r="P481" s="17">
        <v>96.1</v>
      </c>
      <c r="Q481" s="17">
        <v>63.4</v>
      </c>
      <c r="R481" s="17">
        <f t="shared" si="22"/>
        <v>35.800000000000004</v>
      </c>
      <c r="S481" s="17">
        <v>48.1</v>
      </c>
      <c r="T481" s="17">
        <f t="shared" si="23"/>
        <v>25.6</v>
      </c>
    </row>
    <row r="482" spans="1:20" x14ac:dyDescent="0.35">
      <c r="A482" s="14" t="s">
        <v>62</v>
      </c>
      <c r="B482" s="15" t="s">
        <v>63</v>
      </c>
      <c r="C482" s="15" t="s">
        <v>64</v>
      </c>
      <c r="D482" s="15" t="s">
        <v>100</v>
      </c>
      <c r="E482" s="15" t="s">
        <v>92</v>
      </c>
      <c r="F482" s="15" t="s">
        <v>67</v>
      </c>
      <c r="G482" s="15" t="s">
        <v>73</v>
      </c>
      <c r="H482" s="15" t="s">
        <v>71</v>
      </c>
      <c r="I482" s="16">
        <v>10576</v>
      </c>
      <c r="J482" s="16">
        <v>7761</v>
      </c>
      <c r="K482" s="16">
        <v>10416</v>
      </c>
      <c r="L482" s="17">
        <v>96.1</v>
      </c>
      <c r="M482" s="17">
        <v>7.9</v>
      </c>
      <c r="N482" s="17">
        <f t="shared" si="21"/>
        <v>88.199999999999989</v>
      </c>
      <c r="O482" s="17">
        <v>62</v>
      </c>
      <c r="P482" s="17">
        <v>86.9</v>
      </c>
      <c r="Q482" s="17">
        <v>55.4</v>
      </c>
      <c r="R482" s="17">
        <f t="shared" si="22"/>
        <v>32.79999999999999</v>
      </c>
      <c r="S482" s="17">
        <v>39.200000000000003</v>
      </c>
      <c r="T482" s="17">
        <f t="shared" si="23"/>
        <v>22.799999999999997</v>
      </c>
    </row>
    <row r="483" spans="1:20" x14ac:dyDescent="0.35">
      <c r="A483" s="14" t="s">
        <v>62</v>
      </c>
      <c r="B483" s="15" t="s">
        <v>63</v>
      </c>
      <c r="C483" s="15" t="s">
        <v>64</v>
      </c>
      <c r="D483" s="15" t="s">
        <v>100</v>
      </c>
      <c r="E483" s="15" t="s">
        <v>92</v>
      </c>
      <c r="F483" s="15" t="s">
        <v>67</v>
      </c>
      <c r="G483" s="15" t="s">
        <v>73</v>
      </c>
      <c r="H483" s="15" t="s">
        <v>72</v>
      </c>
      <c r="I483" s="16">
        <v>3128</v>
      </c>
      <c r="J483" s="16">
        <v>2262</v>
      </c>
      <c r="K483" s="16">
        <v>3071</v>
      </c>
      <c r="L483" s="17">
        <v>36.799999999999997</v>
      </c>
      <c r="M483" s="17">
        <v>2.6</v>
      </c>
      <c r="N483" s="17">
        <f t="shared" si="21"/>
        <v>34.199999999999996</v>
      </c>
      <c r="O483" s="17">
        <v>23.7</v>
      </c>
      <c r="P483" s="17">
        <v>33.6</v>
      </c>
      <c r="Q483" s="17">
        <v>22.2</v>
      </c>
      <c r="R483" s="17">
        <f t="shared" si="22"/>
        <v>11.999999999999996</v>
      </c>
      <c r="S483" s="17">
        <v>15.5</v>
      </c>
      <c r="T483" s="17">
        <f t="shared" si="23"/>
        <v>8.1999999999999993</v>
      </c>
    </row>
    <row r="484" spans="1:20" x14ac:dyDescent="0.35">
      <c r="A484" s="14" t="s">
        <v>62</v>
      </c>
      <c r="B484" s="15" t="s">
        <v>63</v>
      </c>
      <c r="C484" s="15" t="s">
        <v>64</v>
      </c>
      <c r="D484" s="15" t="s">
        <v>100</v>
      </c>
      <c r="E484" s="15" t="s">
        <v>92</v>
      </c>
      <c r="F484" s="15" t="s">
        <v>67</v>
      </c>
      <c r="G484" s="15" t="s">
        <v>74</v>
      </c>
      <c r="H484" s="15" t="s">
        <v>70</v>
      </c>
      <c r="I484" s="16">
        <v>15140</v>
      </c>
      <c r="J484" s="16">
        <v>11710</v>
      </c>
      <c r="K484" s="16">
        <v>15008</v>
      </c>
      <c r="L484" s="17">
        <v>107.9</v>
      </c>
      <c r="M484" s="17">
        <v>8.4</v>
      </c>
      <c r="N484" s="17">
        <f t="shared" si="21"/>
        <v>99.5</v>
      </c>
      <c r="O484" s="17">
        <v>73.7</v>
      </c>
      <c r="P484" s="17">
        <v>96.8</v>
      </c>
      <c r="Q484" s="17">
        <v>56.8</v>
      </c>
      <c r="R484" s="17">
        <f t="shared" si="22"/>
        <v>42.7</v>
      </c>
      <c r="S484" s="17">
        <v>43.1</v>
      </c>
      <c r="T484" s="17">
        <f t="shared" si="23"/>
        <v>30.6</v>
      </c>
    </row>
    <row r="485" spans="1:20" x14ac:dyDescent="0.35">
      <c r="A485" s="14" t="s">
        <v>62</v>
      </c>
      <c r="B485" s="15" t="s">
        <v>63</v>
      </c>
      <c r="C485" s="15" t="s">
        <v>64</v>
      </c>
      <c r="D485" s="15" t="s">
        <v>100</v>
      </c>
      <c r="E485" s="15" t="s">
        <v>92</v>
      </c>
      <c r="F485" s="15" t="s">
        <v>67</v>
      </c>
      <c r="G485" s="15" t="s">
        <v>74</v>
      </c>
      <c r="H485" s="15" t="s">
        <v>71</v>
      </c>
      <c r="I485" s="16">
        <v>15953</v>
      </c>
      <c r="J485" s="16">
        <v>12458</v>
      </c>
      <c r="K485" s="16">
        <v>15721</v>
      </c>
      <c r="L485" s="17">
        <v>141.69999999999999</v>
      </c>
      <c r="M485" s="17">
        <v>11.8</v>
      </c>
      <c r="N485" s="17">
        <f t="shared" si="21"/>
        <v>129.89999999999998</v>
      </c>
      <c r="O485" s="17">
        <v>96.9</v>
      </c>
      <c r="P485" s="17">
        <v>127</v>
      </c>
      <c r="Q485" s="17">
        <v>81.599999999999994</v>
      </c>
      <c r="R485" s="17">
        <f t="shared" si="22"/>
        <v>48.299999999999983</v>
      </c>
      <c r="S485" s="17">
        <v>62.1</v>
      </c>
      <c r="T485" s="17">
        <f t="shared" si="23"/>
        <v>34.800000000000004</v>
      </c>
    </row>
    <row r="486" spans="1:20" x14ac:dyDescent="0.35">
      <c r="A486" s="14" t="s">
        <v>62</v>
      </c>
      <c r="B486" s="15" t="s">
        <v>63</v>
      </c>
      <c r="C486" s="15" t="s">
        <v>64</v>
      </c>
      <c r="D486" s="15" t="s">
        <v>100</v>
      </c>
      <c r="E486" s="15" t="s">
        <v>92</v>
      </c>
      <c r="F486" s="15" t="s">
        <v>67</v>
      </c>
      <c r="G486" s="15" t="s">
        <v>75</v>
      </c>
      <c r="H486" s="15" t="s">
        <v>71</v>
      </c>
      <c r="I486" s="16">
        <v>10910</v>
      </c>
      <c r="J486" s="16">
        <v>8426</v>
      </c>
      <c r="K486" s="16">
        <v>10762</v>
      </c>
      <c r="L486" s="17">
        <v>95.1</v>
      </c>
      <c r="M486" s="17">
        <v>7.7</v>
      </c>
      <c r="N486" s="17">
        <f t="shared" si="21"/>
        <v>87.399999999999991</v>
      </c>
      <c r="O486" s="17">
        <v>65</v>
      </c>
      <c r="P486" s="17">
        <v>85.8</v>
      </c>
      <c r="Q486" s="17">
        <v>53.3</v>
      </c>
      <c r="R486" s="17">
        <f t="shared" si="22"/>
        <v>34.099999999999994</v>
      </c>
      <c r="S486" s="17">
        <v>40.1</v>
      </c>
      <c r="T486" s="17">
        <f t="shared" si="23"/>
        <v>24.9</v>
      </c>
    </row>
    <row r="487" spans="1:20" x14ac:dyDescent="0.35">
      <c r="A487" s="14" t="s">
        <v>62</v>
      </c>
      <c r="B487" s="15" t="s">
        <v>63</v>
      </c>
      <c r="C487" s="15" t="s">
        <v>64</v>
      </c>
      <c r="D487" s="15" t="s">
        <v>100</v>
      </c>
      <c r="E487" s="15" t="s">
        <v>92</v>
      </c>
      <c r="F487" s="15" t="s">
        <v>67</v>
      </c>
      <c r="G487" s="15" t="s">
        <v>76</v>
      </c>
      <c r="H487" s="15" t="s">
        <v>72</v>
      </c>
      <c r="I487" s="16">
        <v>2249</v>
      </c>
      <c r="J487" s="16">
        <v>1715</v>
      </c>
      <c r="K487" s="16">
        <v>2222</v>
      </c>
      <c r="L487" s="17">
        <v>33.799999999999997</v>
      </c>
      <c r="M487" s="17">
        <v>2.9</v>
      </c>
      <c r="N487" s="17">
        <f t="shared" si="21"/>
        <v>30.9</v>
      </c>
      <c r="O487" s="17">
        <v>22.4</v>
      </c>
      <c r="P487" s="17">
        <v>29.9</v>
      </c>
      <c r="Q487" s="17">
        <v>18.899999999999999</v>
      </c>
      <c r="R487" s="17">
        <f t="shared" si="22"/>
        <v>12</v>
      </c>
      <c r="S487" s="17">
        <v>13.8</v>
      </c>
      <c r="T487" s="17">
        <f t="shared" si="23"/>
        <v>8.5999999999999979</v>
      </c>
    </row>
    <row r="488" spans="1:20" x14ac:dyDescent="0.35">
      <c r="A488" s="14" t="s">
        <v>62</v>
      </c>
      <c r="B488" s="15" t="s">
        <v>63</v>
      </c>
      <c r="C488" s="15" t="s">
        <v>64</v>
      </c>
      <c r="D488" s="15" t="s">
        <v>100</v>
      </c>
      <c r="E488" s="15" t="s">
        <v>92</v>
      </c>
      <c r="F488" s="15" t="s">
        <v>67</v>
      </c>
      <c r="G488" s="15" t="s">
        <v>77</v>
      </c>
      <c r="H488" s="15" t="s">
        <v>71</v>
      </c>
      <c r="I488" s="16">
        <v>6132</v>
      </c>
      <c r="J488" s="16">
        <v>4781</v>
      </c>
      <c r="K488" s="16">
        <v>6006</v>
      </c>
      <c r="L488" s="17">
        <v>53.6</v>
      </c>
      <c r="M488" s="17">
        <v>4.5999999999999996</v>
      </c>
      <c r="N488" s="17">
        <f t="shared" si="21"/>
        <v>49</v>
      </c>
      <c r="O488" s="17">
        <v>36.5</v>
      </c>
      <c r="P488" s="17">
        <v>47.4</v>
      </c>
      <c r="Q488" s="17">
        <v>30.7</v>
      </c>
      <c r="R488" s="17">
        <f t="shared" si="22"/>
        <v>18.3</v>
      </c>
      <c r="S488" s="17">
        <v>23.3</v>
      </c>
      <c r="T488" s="17">
        <f t="shared" si="23"/>
        <v>13.2</v>
      </c>
    </row>
    <row r="489" spans="1:20" x14ac:dyDescent="0.35">
      <c r="A489" s="14" t="s">
        <v>62</v>
      </c>
      <c r="B489" s="15" t="s">
        <v>63</v>
      </c>
      <c r="C489" s="15" t="s">
        <v>64</v>
      </c>
      <c r="D489" s="15" t="s">
        <v>100</v>
      </c>
      <c r="E489" s="15" t="s">
        <v>92</v>
      </c>
      <c r="F489" s="15" t="s">
        <v>67</v>
      </c>
      <c r="G489" s="15" t="s">
        <v>78</v>
      </c>
      <c r="H489" s="15" t="s">
        <v>71</v>
      </c>
      <c r="I489" s="16">
        <v>8546</v>
      </c>
      <c r="J489" s="16">
        <v>6620</v>
      </c>
      <c r="K489" s="16">
        <v>8379</v>
      </c>
      <c r="L489" s="17">
        <v>72.400000000000006</v>
      </c>
      <c r="M489" s="17">
        <v>5.0999999999999996</v>
      </c>
      <c r="N489" s="17">
        <f t="shared" si="21"/>
        <v>67.300000000000011</v>
      </c>
      <c r="O489" s="17">
        <v>49.6</v>
      </c>
      <c r="P489" s="17">
        <v>66.2</v>
      </c>
      <c r="Q489" s="17">
        <v>42.4</v>
      </c>
      <c r="R489" s="17">
        <f t="shared" si="22"/>
        <v>24.900000000000013</v>
      </c>
      <c r="S489" s="17">
        <v>31.8</v>
      </c>
      <c r="T489" s="17">
        <f t="shared" si="23"/>
        <v>17.8</v>
      </c>
    </row>
    <row r="490" spans="1:20" x14ac:dyDescent="0.35">
      <c r="A490" s="14" t="s">
        <v>62</v>
      </c>
      <c r="B490" s="15" t="s">
        <v>63</v>
      </c>
      <c r="C490" s="15" t="s">
        <v>64</v>
      </c>
      <c r="D490" s="15" t="s">
        <v>100</v>
      </c>
      <c r="E490" s="15" t="s">
        <v>92</v>
      </c>
      <c r="F490" s="15" t="s">
        <v>79</v>
      </c>
      <c r="G490" s="15" t="s">
        <v>80</v>
      </c>
      <c r="H490" s="15" t="s">
        <v>71</v>
      </c>
      <c r="I490" s="16">
        <v>12524</v>
      </c>
      <c r="J490" s="16">
        <v>9685</v>
      </c>
      <c r="K490" s="16">
        <v>12382</v>
      </c>
      <c r="L490" s="17">
        <v>72.3</v>
      </c>
      <c r="M490" s="17">
        <v>6</v>
      </c>
      <c r="N490" s="17">
        <f t="shared" si="21"/>
        <v>66.3</v>
      </c>
      <c r="O490" s="17">
        <v>49.3</v>
      </c>
      <c r="P490" s="17">
        <v>64.5</v>
      </c>
      <c r="Q490" s="17">
        <v>39.700000000000003</v>
      </c>
      <c r="R490" s="17">
        <f t="shared" si="22"/>
        <v>26.599999999999994</v>
      </c>
      <c r="S490" s="17">
        <v>29.7</v>
      </c>
      <c r="T490" s="17">
        <f t="shared" si="23"/>
        <v>19.599999999999998</v>
      </c>
    </row>
    <row r="491" spans="1:20" x14ac:dyDescent="0.35">
      <c r="A491" s="14" t="s">
        <v>62</v>
      </c>
      <c r="B491" s="15" t="s">
        <v>63</v>
      </c>
      <c r="C491" s="15" t="s">
        <v>64</v>
      </c>
      <c r="D491" s="15" t="s">
        <v>100</v>
      </c>
      <c r="E491" s="15" t="s">
        <v>92</v>
      </c>
      <c r="F491" s="15" t="s">
        <v>81</v>
      </c>
      <c r="G491" s="15" t="s">
        <v>82</v>
      </c>
      <c r="H491" s="15" t="s">
        <v>71</v>
      </c>
      <c r="I491" s="16">
        <v>3868</v>
      </c>
      <c r="J491" s="16">
        <v>2949</v>
      </c>
      <c r="K491" s="16">
        <v>3802</v>
      </c>
      <c r="L491" s="17">
        <v>44.8</v>
      </c>
      <c r="M491" s="17">
        <v>3.4</v>
      </c>
      <c r="N491" s="17">
        <f t="shared" si="21"/>
        <v>41.4</v>
      </c>
      <c r="O491" s="17">
        <v>30.2</v>
      </c>
      <c r="P491" s="17">
        <v>40.700000000000003</v>
      </c>
      <c r="Q491" s="17">
        <v>26.1</v>
      </c>
      <c r="R491" s="17">
        <f t="shared" si="22"/>
        <v>15.299999999999997</v>
      </c>
      <c r="S491" s="17">
        <v>19.5</v>
      </c>
      <c r="T491" s="17">
        <f t="shared" si="23"/>
        <v>10.7</v>
      </c>
    </row>
    <row r="492" spans="1:20" x14ac:dyDescent="0.35">
      <c r="A492" s="14" t="s">
        <v>62</v>
      </c>
      <c r="B492" s="15" t="s">
        <v>63</v>
      </c>
      <c r="C492" s="15" t="s">
        <v>64</v>
      </c>
      <c r="D492" s="15" t="s">
        <v>100</v>
      </c>
      <c r="E492" s="15" t="s">
        <v>92</v>
      </c>
      <c r="F492" s="15" t="s">
        <v>83</v>
      </c>
      <c r="G492" s="15" t="s">
        <v>84</v>
      </c>
      <c r="H492" s="15" t="s">
        <v>72</v>
      </c>
      <c r="I492" s="16">
        <v>1843</v>
      </c>
      <c r="J492" s="16">
        <v>1288</v>
      </c>
      <c r="K492" s="16">
        <v>1811</v>
      </c>
      <c r="L492" s="17">
        <v>68.400000000000006</v>
      </c>
      <c r="M492" s="17">
        <v>5.2</v>
      </c>
      <c r="N492" s="17">
        <f t="shared" si="21"/>
        <v>63.2</v>
      </c>
      <c r="O492" s="17">
        <v>42.4</v>
      </c>
      <c r="P492" s="17">
        <v>61.9</v>
      </c>
      <c r="Q492" s="17">
        <v>35.700000000000003</v>
      </c>
      <c r="R492" s="17">
        <f t="shared" si="22"/>
        <v>27.5</v>
      </c>
      <c r="S492" s="17">
        <v>24.2</v>
      </c>
      <c r="T492" s="17">
        <f t="shared" si="23"/>
        <v>18.2</v>
      </c>
    </row>
    <row r="493" spans="1:20" x14ac:dyDescent="0.35">
      <c r="A493" s="14" t="s">
        <v>62</v>
      </c>
      <c r="B493" s="15" t="s">
        <v>63</v>
      </c>
      <c r="C493" s="15" t="s">
        <v>64</v>
      </c>
      <c r="D493" s="15" t="s">
        <v>100</v>
      </c>
      <c r="E493" s="15" t="s">
        <v>92</v>
      </c>
      <c r="F493" s="15" t="s">
        <v>85</v>
      </c>
      <c r="G493" s="15" t="s">
        <v>86</v>
      </c>
      <c r="H493" s="15" t="s">
        <v>72</v>
      </c>
      <c r="I493" s="16">
        <v>1572</v>
      </c>
      <c r="J493" s="16">
        <v>1203</v>
      </c>
      <c r="K493" s="16">
        <v>1546</v>
      </c>
      <c r="L493" s="17">
        <v>34.1</v>
      </c>
      <c r="M493" s="17">
        <v>2.7</v>
      </c>
      <c r="N493" s="17">
        <f t="shared" si="21"/>
        <v>31.400000000000002</v>
      </c>
      <c r="O493" s="17">
        <v>22.9</v>
      </c>
      <c r="P493" s="17">
        <v>30.6</v>
      </c>
      <c r="Q493" s="17">
        <v>21</v>
      </c>
      <c r="R493" s="17">
        <f t="shared" si="22"/>
        <v>10.400000000000002</v>
      </c>
      <c r="S493" s="17">
        <v>15.4</v>
      </c>
      <c r="T493" s="17">
        <f t="shared" si="23"/>
        <v>7.4999999999999982</v>
      </c>
    </row>
    <row r="494" spans="1:20" x14ac:dyDescent="0.35">
      <c r="A494" s="14" t="s">
        <v>101</v>
      </c>
      <c r="B494" s="15" t="s">
        <v>102</v>
      </c>
      <c r="C494" s="15" t="s">
        <v>64</v>
      </c>
      <c r="D494" s="15" t="s">
        <v>65</v>
      </c>
      <c r="E494" s="15" t="s">
        <v>66</v>
      </c>
      <c r="F494" s="15" t="s">
        <v>67</v>
      </c>
      <c r="G494" s="15" t="s">
        <v>68</v>
      </c>
      <c r="H494" s="15" t="s">
        <v>69</v>
      </c>
      <c r="I494" s="16">
        <v>233323</v>
      </c>
      <c r="J494" s="16">
        <v>223408</v>
      </c>
      <c r="K494" s="16">
        <v>230805</v>
      </c>
      <c r="L494" s="17">
        <v>1422.2</v>
      </c>
      <c r="M494" s="17">
        <v>198.5</v>
      </c>
      <c r="N494" s="17">
        <f t="shared" si="21"/>
        <v>1223.7</v>
      </c>
      <c r="O494" s="17">
        <v>1116.0999999999999</v>
      </c>
      <c r="P494" s="17">
        <v>1193.7</v>
      </c>
      <c r="Q494" s="17">
        <v>677.3</v>
      </c>
      <c r="R494" s="17">
        <f t="shared" si="22"/>
        <v>546.40000000000009</v>
      </c>
      <c r="S494" s="17">
        <v>625.4</v>
      </c>
      <c r="T494" s="17">
        <f t="shared" si="23"/>
        <v>490.69999999999993</v>
      </c>
    </row>
    <row r="495" spans="1:20" x14ac:dyDescent="0.35">
      <c r="A495" s="14" t="s">
        <v>101</v>
      </c>
      <c r="B495" s="15" t="s">
        <v>102</v>
      </c>
      <c r="C495" s="15" t="s">
        <v>64</v>
      </c>
      <c r="D495" s="15" t="s">
        <v>65</v>
      </c>
      <c r="E495" s="15" t="s">
        <v>66</v>
      </c>
      <c r="F495" s="15" t="s">
        <v>67</v>
      </c>
      <c r="G495" s="15" t="s">
        <v>68</v>
      </c>
      <c r="H495" s="15" t="s">
        <v>70</v>
      </c>
      <c r="I495" s="16">
        <v>531638</v>
      </c>
      <c r="J495" s="16">
        <v>494148</v>
      </c>
      <c r="K495" s="16">
        <v>523671</v>
      </c>
      <c r="L495" s="17">
        <v>3841.9</v>
      </c>
      <c r="M495" s="17">
        <v>557.79999999999995</v>
      </c>
      <c r="N495" s="17">
        <f t="shared" si="21"/>
        <v>3284.1000000000004</v>
      </c>
      <c r="O495" s="17">
        <v>2883.8</v>
      </c>
      <c r="P495" s="17">
        <v>3195.8</v>
      </c>
      <c r="Q495" s="17">
        <v>1907.3</v>
      </c>
      <c r="R495" s="17">
        <f t="shared" si="22"/>
        <v>1376.8000000000004</v>
      </c>
      <c r="S495" s="17">
        <v>1711.2</v>
      </c>
      <c r="T495" s="17">
        <f t="shared" si="23"/>
        <v>1172.6000000000001</v>
      </c>
    </row>
    <row r="496" spans="1:20" x14ac:dyDescent="0.35">
      <c r="A496" s="14" t="s">
        <v>101</v>
      </c>
      <c r="B496" s="15" t="s">
        <v>102</v>
      </c>
      <c r="C496" s="15" t="s">
        <v>64</v>
      </c>
      <c r="D496" s="15" t="s">
        <v>65</v>
      </c>
      <c r="E496" s="15" t="s">
        <v>66</v>
      </c>
      <c r="F496" s="15" t="s">
        <v>67</v>
      </c>
      <c r="G496" s="15" t="s">
        <v>68</v>
      </c>
      <c r="H496" s="15" t="s">
        <v>71</v>
      </c>
      <c r="I496" s="16">
        <v>1281717</v>
      </c>
      <c r="J496" s="16">
        <v>1226372</v>
      </c>
      <c r="K496" s="16">
        <v>1266203</v>
      </c>
      <c r="L496" s="17">
        <v>11822.4</v>
      </c>
      <c r="M496" s="17">
        <v>1669.8</v>
      </c>
      <c r="N496" s="17">
        <f t="shared" si="21"/>
        <v>10152.6</v>
      </c>
      <c r="O496" s="17">
        <v>9318</v>
      </c>
      <c r="P496" s="17">
        <v>9929.5</v>
      </c>
      <c r="Q496" s="17">
        <v>6219.9</v>
      </c>
      <c r="R496" s="17">
        <f t="shared" si="22"/>
        <v>3932.7000000000007</v>
      </c>
      <c r="S496" s="17">
        <v>5758.7</v>
      </c>
      <c r="T496" s="17">
        <f t="shared" si="23"/>
        <v>3559.3</v>
      </c>
    </row>
    <row r="497" spans="1:20" x14ac:dyDescent="0.35">
      <c r="A497" s="14" t="s">
        <v>101</v>
      </c>
      <c r="B497" s="15" t="s">
        <v>102</v>
      </c>
      <c r="C497" s="15" t="s">
        <v>64</v>
      </c>
      <c r="D497" s="15" t="s">
        <v>65</v>
      </c>
      <c r="E497" s="15" t="s">
        <v>66</v>
      </c>
      <c r="F497" s="15" t="s">
        <v>67</v>
      </c>
      <c r="G497" s="15" t="s">
        <v>68</v>
      </c>
      <c r="H497" s="15" t="s">
        <v>72</v>
      </c>
      <c r="I497" s="16">
        <v>468922</v>
      </c>
      <c r="J497" s="16">
        <v>430976</v>
      </c>
      <c r="K497" s="16">
        <v>465200</v>
      </c>
      <c r="L497" s="17">
        <v>5639.7</v>
      </c>
      <c r="M497" s="17">
        <v>758.3</v>
      </c>
      <c r="N497" s="17">
        <f t="shared" si="21"/>
        <v>4881.3999999999996</v>
      </c>
      <c r="O497" s="17">
        <v>4298.5</v>
      </c>
      <c r="P497" s="17">
        <v>4759.1000000000004</v>
      </c>
      <c r="Q497" s="17">
        <v>3053.8</v>
      </c>
      <c r="R497" s="17">
        <f t="shared" si="22"/>
        <v>1827.5999999999995</v>
      </c>
      <c r="S497" s="17">
        <v>2752.7</v>
      </c>
      <c r="T497" s="17">
        <f t="shared" si="23"/>
        <v>1545.8000000000002</v>
      </c>
    </row>
    <row r="498" spans="1:20" x14ac:dyDescent="0.35">
      <c r="A498" s="14" t="s">
        <v>101</v>
      </c>
      <c r="B498" s="15" t="s">
        <v>102</v>
      </c>
      <c r="C498" s="15" t="s">
        <v>64</v>
      </c>
      <c r="D498" s="15" t="s">
        <v>65</v>
      </c>
      <c r="E498" s="15" t="s">
        <v>66</v>
      </c>
      <c r="F498" s="15" t="s">
        <v>67</v>
      </c>
      <c r="G498" s="15" t="s">
        <v>73</v>
      </c>
      <c r="H498" s="15" t="s">
        <v>71</v>
      </c>
      <c r="I498" s="16">
        <v>342792</v>
      </c>
      <c r="J498" s="16">
        <v>297946</v>
      </c>
      <c r="K498" s="16">
        <v>337312</v>
      </c>
      <c r="L498" s="17">
        <v>3146.4</v>
      </c>
      <c r="M498" s="17">
        <v>413.1</v>
      </c>
      <c r="N498" s="17">
        <f t="shared" si="21"/>
        <v>2733.3</v>
      </c>
      <c r="O498" s="17">
        <v>2271.6</v>
      </c>
      <c r="P498" s="17">
        <v>2659.9</v>
      </c>
      <c r="Q498" s="17">
        <v>1676.9</v>
      </c>
      <c r="R498" s="17">
        <f t="shared" si="22"/>
        <v>1056.4000000000001</v>
      </c>
      <c r="S498" s="17">
        <v>1408.4</v>
      </c>
      <c r="T498" s="17">
        <f t="shared" si="23"/>
        <v>863.19999999999982</v>
      </c>
    </row>
    <row r="499" spans="1:20" x14ac:dyDescent="0.35">
      <c r="A499" s="14" t="s">
        <v>101</v>
      </c>
      <c r="B499" s="15" t="s">
        <v>102</v>
      </c>
      <c r="C499" s="15" t="s">
        <v>64</v>
      </c>
      <c r="D499" s="15" t="s">
        <v>65</v>
      </c>
      <c r="E499" s="15" t="s">
        <v>66</v>
      </c>
      <c r="F499" s="15" t="s">
        <v>67</v>
      </c>
      <c r="G499" s="15" t="s">
        <v>73</v>
      </c>
      <c r="H499" s="15" t="s">
        <v>72</v>
      </c>
      <c r="I499" s="16">
        <v>143065</v>
      </c>
      <c r="J499" s="16">
        <v>120031</v>
      </c>
      <c r="K499" s="16">
        <v>141814</v>
      </c>
      <c r="L499" s="17">
        <v>1751</v>
      </c>
      <c r="M499" s="17">
        <v>236.7</v>
      </c>
      <c r="N499" s="17">
        <f t="shared" si="21"/>
        <v>1514.3</v>
      </c>
      <c r="O499" s="17">
        <v>1219.5</v>
      </c>
      <c r="P499" s="17">
        <v>1489</v>
      </c>
      <c r="Q499" s="17">
        <v>958.3</v>
      </c>
      <c r="R499" s="17">
        <f t="shared" si="22"/>
        <v>556</v>
      </c>
      <c r="S499" s="17">
        <v>781.2</v>
      </c>
      <c r="T499" s="17">
        <f t="shared" si="23"/>
        <v>438.29999999999995</v>
      </c>
    </row>
    <row r="500" spans="1:20" x14ac:dyDescent="0.35">
      <c r="A500" s="14" t="s">
        <v>101</v>
      </c>
      <c r="B500" s="15" t="s">
        <v>102</v>
      </c>
      <c r="C500" s="15" t="s">
        <v>64</v>
      </c>
      <c r="D500" s="15" t="s">
        <v>65</v>
      </c>
      <c r="E500" s="15" t="s">
        <v>66</v>
      </c>
      <c r="F500" s="15" t="s">
        <v>67</v>
      </c>
      <c r="G500" s="15" t="s">
        <v>74</v>
      </c>
      <c r="H500" s="15" t="s">
        <v>70</v>
      </c>
      <c r="I500" s="16">
        <v>241185</v>
      </c>
      <c r="J500" s="16">
        <v>223262</v>
      </c>
      <c r="K500" s="16">
        <v>236759</v>
      </c>
      <c r="L500" s="17">
        <v>1694.8</v>
      </c>
      <c r="M500" s="17">
        <v>220.8</v>
      </c>
      <c r="N500" s="17">
        <f t="shared" si="21"/>
        <v>1474</v>
      </c>
      <c r="O500" s="17">
        <v>1308.4000000000001</v>
      </c>
      <c r="P500" s="17">
        <v>1447.2</v>
      </c>
      <c r="Q500" s="17">
        <v>848.5</v>
      </c>
      <c r="R500" s="17">
        <f t="shared" si="22"/>
        <v>625.5</v>
      </c>
      <c r="S500" s="17">
        <v>759.5</v>
      </c>
      <c r="T500" s="17">
        <f t="shared" si="23"/>
        <v>548.90000000000009</v>
      </c>
    </row>
    <row r="501" spans="1:20" x14ac:dyDescent="0.35">
      <c r="A501" s="14" t="s">
        <v>101</v>
      </c>
      <c r="B501" s="15" t="s">
        <v>102</v>
      </c>
      <c r="C501" s="15" t="s">
        <v>64</v>
      </c>
      <c r="D501" s="15" t="s">
        <v>65</v>
      </c>
      <c r="E501" s="15" t="s">
        <v>66</v>
      </c>
      <c r="F501" s="15" t="s">
        <v>67</v>
      </c>
      <c r="G501" s="15" t="s">
        <v>74</v>
      </c>
      <c r="H501" s="15" t="s">
        <v>71</v>
      </c>
      <c r="I501" s="16">
        <v>588845</v>
      </c>
      <c r="J501" s="16">
        <v>551873</v>
      </c>
      <c r="K501" s="16">
        <v>580682</v>
      </c>
      <c r="L501" s="17">
        <v>5179.7</v>
      </c>
      <c r="M501" s="17">
        <v>678.6</v>
      </c>
      <c r="N501" s="17">
        <f t="shared" si="21"/>
        <v>4501.0999999999995</v>
      </c>
      <c r="O501" s="17">
        <v>4003.3</v>
      </c>
      <c r="P501" s="17">
        <v>4381.3999999999996</v>
      </c>
      <c r="Q501" s="17">
        <v>2756.4</v>
      </c>
      <c r="R501" s="17">
        <f t="shared" si="22"/>
        <v>1744.6999999999994</v>
      </c>
      <c r="S501" s="17">
        <v>2487.8000000000002</v>
      </c>
      <c r="T501" s="17">
        <f t="shared" si="23"/>
        <v>1515.5</v>
      </c>
    </row>
    <row r="502" spans="1:20" x14ac:dyDescent="0.35">
      <c r="A502" s="14" t="s">
        <v>101</v>
      </c>
      <c r="B502" s="15" t="s">
        <v>102</v>
      </c>
      <c r="C502" s="15" t="s">
        <v>64</v>
      </c>
      <c r="D502" s="15" t="s">
        <v>65</v>
      </c>
      <c r="E502" s="15" t="s">
        <v>66</v>
      </c>
      <c r="F502" s="15" t="s">
        <v>67</v>
      </c>
      <c r="G502" s="15" t="s">
        <v>75</v>
      </c>
      <c r="H502" s="15" t="s">
        <v>71</v>
      </c>
      <c r="I502" s="16">
        <v>409373</v>
      </c>
      <c r="J502" s="16">
        <v>377675</v>
      </c>
      <c r="K502" s="16">
        <v>404082</v>
      </c>
      <c r="L502" s="17">
        <v>3574.2</v>
      </c>
      <c r="M502" s="17">
        <v>529.4</v>
      </c>
      <c r="N502" s="17">
        <f t="shared" si="21"/>
        <v>3044.7999999999997</v>
      </c>
      <c r="O502" s="17">
        <v>2673.2</v>
      </c>
      <c r="P502" s="17">
        <v>2986.2</v>
      </c>
      <c r="Q502" s="17">
        <v>1899.1</v>
      </c>
      <c r="R502" s="17">
        <f t="shared" si="22"/>
        <v>1145.6999999999998</v>
      </c>
      <c r="S502" s="17">
        <v>1706.6</v>
      </c>
      <c r="T502" s="17">
        <f t="shared" si="23"/>
        <v>966.59999999999991</v>
      </c>
    </row>
    <row r="503" spans="1:20" x14ac:dyDescent="0.35">
      <c r="A503" s="14" t="s">
        <v>101</v>
      </c>
      <c r="B503" s="15" t="s">
        <v>102</v>
      </c>
      <c r="C503" s="15" t="s">
        <v>64</v>
      </c>
      <c r="D503" s="15" t="s">
        <v>65</v>
      </c>
      <c r="E503" s="15" t="s">
        <v>66</v>
      </c>
      <c r="F503" s="15" t="s">
        <v>67</v>
      </c>
      <c r="G503" s="15" t="s">
        <v>76</v>
      </c>
      <c r="H503" s="15" t="s">
        <v>72</v>
      </c>
      <c r="I503" s="16">
        <v>111650</v>
      </c>
      <c r="J503" s="16">
        <v>101103</v>
      </c>
      <c r="K503" s="16">
        <v>109962</v>
      </c>
      <c r="L503" s="17">
        <v>1610</v>
      </c>
      <c r="M503" s="17">
        <v>224</v>
      </c>
      <c r="N503" s="17">
        <f t="shared" si="21"/>
        <v>1386</v>
      </c>
      <c r="O503" s="17">
        <v>1186.4000000000001</v>
      </c>
      <c r="P503" s="17">
        <v>1355.8</v>
      </c>
      <c r="Q503" s="17">
        <v>879.6</v>
      </c>
      <c r="R503" s="17">
        <f t="shared" si="22"/>
        <v>506.4</v>
      </c>
      <c r="S503" s="17">
        <v>765.5</v>
      </c>
      <c r="T503" s="17">
        <f t="shared" si="23"/>
        <v>420.90000000000009</v>
      </c>
    </row>
    <row r="504" spans="1:20" x14ac:dyDescent="0.35">
      <c r="A504" s="14" t="s">
        <v>101</v>
      </c>
      <c r="B504" s="15" t="s">
        <v>102</v>
      </c>
      <c r="C504" s="15" t="s">
        <v>64</v>
      </c>
      <c r="D504" s="15" t="s">
        <v>65</v>
      </c>
      <c r="E504" s="15" t="s">
        <v>66</v>
      </c>
      <c r="F504" s="15" t="s">
        <v>67</v>
      </c>
      <c r="G504" s="15" t="s">
        <v>77</v>
      </c>
      <c r="H504" s="15" t="s">
        <v>71</v>
      </c>
      <c r="I504" s="16">
        <v>216375</v>
      </c>
      <c r="J504" s="16">
        <v>200893</v>
      </c>
      <c r="K504" s="16">
        <v>213035</v>
      </c>
      <c r="L504" s="17">
        <v>1873.9</v>
      </c>
      <c r="M504" s="17">
        <v>253.4</v>
      </c>
      <c r="N504" s="17">
        <f t="shared" si="21"/>
        <v>1620.5</v>
      </c>
      <c r="O504" s="17">
        <v>1430</v>
      </c>
      <c r="P504" s="17">
        <v>1586.1</v>
      </c>
      <c r="Q504" s="17">
        <v>985.1</v>
      </c>
      <c r="R504" s="17">
        <f t="shared" si="22"/>
        <v>635.4</v>
      </c>
      <c r="S504" s="17">
        <v>885.8</v>
      </c>
      <c r="T504" s="17">
        <f t="shared" si="23"/>
        <v>544.20000000000005</v>
      </c>
    </row>
    <row r="505" spans="1:20" x14ac:dyDescent="0.35">
      <c r="A505" s="14" t="s">
        <v>101</v>
      </c>
      <c r="B505" s="15" t="s">
        <v>102</v>
      </c>
      <c r="C505" s="15" t="s">
        <v>64</v>
      </c>
      <c r="D505" s="15" t="s">
        <v>65</v>
      </c>
      <c r="E505" s="15" t="s">
        <v>66</v>
      </c>
      <c r="F505" s="15" t="s">
        <v>67</v>
      </c>
      <c r="G505" s="15" t="s">
        <v>78</v>
      </c>
      <c r="H505" s="15" t="s">
        <v>71</v>
      </c>
      <c r="I505" s="16">
        <v>259660</v>
      </c>
      <c r="J505" s="16">
        <v>240521</v>
      </c>
      <c r="K505" s="16">
        <v>255242</v>
      </c>
      <c r="L505" s="17">
        <v>2179.5</v>
      </c>
      <c r="M505" s="17">
        <v>300.3</v>
      </c>
      <c r="N505" s="17">
        <f t="shared" si="21"/>
        <v>1879.2</v>
      </c>
      <c r="O505" s="17">
        <v>1643</v>
      </c>
      <c r="P505" s="17">
        <v>1843.7</v>
      </c>
      <c r="Q505" s="17">
        <v>1146.5</v>
      </c>
      <c r="R505" s="17">
        <f t="shared" si="22"/>
        <v>732.7</v>
      </c>
      <c r="S505" s="17">
        <v>1019.5</v>
      </c>
      <c r="T505" s="17">
        <f t="shared" si="23"/>
        <v>623.5</v>
      </c>
    </row>
    <row r="506" spans="1:20" x14ac:dyDescent="0.35">
      <c r="A506" s="14" t="s">
        <v>101</v>
      </c>
      <c r="B506" s="15" t="s">
        <v>102</v>
      </c>
      <c r="C506" s="15" t="s">
        <v>64</v>
      </c>
      <c r="D506" s="15" t="s">
        <v>65</v>
      </c>
      <c r="E506" s="15" t="s">
        <v>66</v>
      </c>
      <c r="F506" s="15" t="s">
        <v>79</v>
      </c>
      <c r="G506" s="15" t="s">
        <v>80</v>
      </c>
      <c r="H506" s="15" t="s">
        <v>71</v>
      </c>
      <c r="I506" s="16">
        <v>428631</v>
      </c>
      <c r="J506" s="16">
        <v>395455</v>
      </c>
      <c r="K506" s="16">
        <v>423008</v>
      </c>
      <c r="L506" s="17">
        <v>2448.1999999999998</v>
      </c>
      <c r="M506" s="17">
        <v>349.2</v>
      </c>
      <c r="N506" s="17">
        <f t="shared" si="21"/>
        <v>2099</v>
      </c>
      <c r="O506" s="17">
        <v>1840.8</v>
      </c>
      <c r="P506" s="17">
        <v>2051.8000000000002</v>
      </c>
      <c r="Q506" s="17">
        <v>1229.4000000000001</v>
      </c>
      <c r="R506" s="17">
        <f t="shared" si="22"/>
        <v>869.59999999999991</v>
      </c>
      <c r="S506" s="17">
        <v>1086.9000000000001</v>
      </c>
      <c r="T506" s="17">
        <f t="shared" si="23"/>
        <v>753.89999999999986</v>
      </c>
    </row>
    <row r="507" spans="1:20" x14ac:dyDescent="0.35">
      <c r="A507" s="14" t="s">
        <v>101</v>
      </c>
      <c r="B507" s="15" t="s">
        <v>102</v>
      </c>
      <c r="C507" s="15" t="s">
        <v>64</v>
      </c>
      <c r="D507" s="15" t="s">
        <v>65</v>
      </c>
      <c r="E507" s="15" t="s">
        <v>66</v>
      </c>
      <c r="F507" s="15" t="s">
        <v>81</v>
      </c>
      <c r="G507" s="15" t="s">
        <v>82</v>
      </c>
      <c r="H507" s="15" t="s">
        <v>71</v>
      </c>
      <c r="I507" s="16">
        <v>130149</v>
      </c>
      <c r="J507" s="16">
        <v>116645</v>
      </c>
      <c r="K507" s="16">
        <v>129116</v>
      </c>
      <c r="L507" s="17">
        <v>1584.1</v>
      </c>
      <c r="M507" s="17">
        <v>233.4</v>
      </c>
      <c r="N507" s="17">
        <f t="shared" si="21"/>
        <v>1350.6999999999998</v>
      </c>
      <c r="O507" s="17">
        <v>1146.7</v>
      </c>
      <c r="P507" s="17">
        <v>1312.3</v>
      </c>
      <c r="Q507" s="17">
        <v>828.5</v>
      </c>
      <c r="R507" s="17">
        <f t="shared" si="22"/>
        <v>522.19999999999982</v>
      </c>
      <c r="S507" s="17">
        <v>717.2</v>
      </c>
      <c r="T507" s="17">
        <f t="shared" si="23"/>
        <v>429.5</v>
      </c>
    </row>
    <row r="508" spans="1:20" x14ac:dyDescent="0.35">
      <c r="A508" s="14" t="s">
        <v>101</v>
      </c>
      <c r="B508" s="15" t="s">
        <v>102</v>
      </c>
      <c r="C508" s="15" t="s">
        <v>64</v>
      </c>
      <c r="D508" s="15" t="s">
        <v>65</v>
      </c>
      <c r="E508" s="15" t="s">
        <v>66</v>
      </c>
      <c r="F508" s="15" t="s">
        <v>83</v>
      </c>
      <c r="G508" s="15" t="s">
        <v>84</v>
      </c>
      <c r="H508" s="15" t="s">
        <v>72</v>
      </c>
      <c r="I508" s="16">
        <v>127984</v>
      </c>
      <c r="J508" s="16">
        <v>102882</v>
      </c>
      <c r="K508" s="16">
        <v>126968</v>
      </c>
      <c r="L508" s="17">
        <v>4823.2</v>
      </c>
      <c r="M508" s="17">
        <v>641.1</v>
      </c>
      <c r="N508" s="17">
        <f t="shared" si="21"/>
        <v>4182.0999999999995</v>
      </c>
      <c r="O508" s="17">
        <v>3181.7</v>
      </c>
      <c r="P508" s="17">
        <v>4067.4</v>
      </c>
      <c r="Q508" s="17">
        <v>2448</v>
      </c>
      <c r="R508" s="17">
        <f t="shared" si="22"/>
        <v>1734.0999999999995</v>
      </c>
      <c r="S508" s="17">
        <v>1886.5</v>
      </c>
      <c r="T508" s="17">
        <f t="shared" si="23"/>
        <v>1295.1999999999998</v>
      </c>
    </row>
    <row r="509" spans="1:20" x14ac:dyDescent="0.35">
      <c r="A509" s="14" t="s">
        <v>101</v>
      </c>
      <c r="B509" s="15" t="s">
        <v>102</v>
      </c>
      <c r="C509" s="15" t="s">
        <v>64</v>
      </c>
      <c r="D509" s="15" t="s">
        <v>65</v>
      </c>
      <c r="E509" s="15" t="s">
        <v>66</v>
      </c>
      <c r="F509" s="15" t="s">
        <v>85</v>
      </c>
      <c r="G509" s="15" t="s">
        <v>86</v>
      </c>
      <c r="H509" s="15" t="s">
        <v>72</v>
      </c>
      <c r="I509" s="16">
        <v>75106</v>
      </c>
      <c r="J509" s="16">
        <v>67691</v>
      </c>
      <c r="K509" s="16">
        <v>74510</v>
      </c>
      <c r="L509" s="17">
        <v>1689.6</v>
      </c>
      <c r="M509" s="17">
        <v>231.2</v>
      </c>
      <c r="N509" s="17">
        <f t="shared" si="21"/>
        <v>1458.3999999999999</v>
      </c>
      <c r="O509" s="17">
        <v>1243.7</v>
      </c>
      <c r="P509" s="17">
        <v>1435.1</v>
      </c>
      <c r="Q509" s="17">
        <v>957.5</v>
      </c>
      <c r="R509" s="17">
        <f t="shared" si="22"/>
        <v>500.89999999999986</v>
      </c>
      <c r="S509" s="17">
        <v>833.9</v>
      </c>
      <c r="T509" s="17">
        <f t="shared" si="23"/>
        <v>409.80000000000007</v>
      </c>
    </row>
    <row r="510" spans="1:20" x14ac:dyDescent="0.35">
      <c r="A510" s="14" t="s">
        <v>101</v>
      </c>
      <c r="B510" s="15" t="s">
        <v>102</v>
      </c>
      <c r="C510" s="15" t="s">
        <v>64</v>
      </c>
      <c r="D510" s="15" t="s">
        <v>65</v>
      </c>
      <c r="E510" s="15" t="s">
        <v>66</v>
      </c>
      <c r="F510" s="15" t="s">
        <v>87</v>
      </c>
      <c r="G510" s="15" t="s">
        <v>88</v>
      </c>
      <c r="H510" s="15" t="s">
        <v>72</v>
      </c>
      <c r="I510" s="16">
        <v>30606</v>
      </c>
      <c r="J510" s="16">
        <v>25281</v>
      </c>
      <c r="K510" s="16">
        <v>30075</v>
      </c>
      <c r="L510" s="17">
        <v>960.6</v>
      </c>
      <c r="M510" s="17">
        <v>133.6</v>
      </c>
      <c r="N510" s="17">
        <f t="shared" si="21"/>
        <v>827</v>
      </c>
      <c r="O510" s="17">
        <v>655.29999999999995</v>
      </c>
      <c r="P510" s="17">
        <v>814.8</v>
      </c>
      <c r="Q510" s="17">
        <v>505.6</v>
      </c>
      <c r="R510" s="17">
        <f t="shared" si="22"/>
        <v>321.39999999999998</v>
      </c>
      <c r="S510" s="17">
        <v>410.3</v>
      </c>
      <c r="T510" s="17">
        <f t="shared" si="23"/>
        <v>244.99999999999994</v>
      </c>
    </row>
    <row r="511" spans="1:20" x14ac:dyDescent="0.35">
      <c r="A511" s="14" t="s">
        <v>101</v>
      </c>
      <c r="B511" s="15" t="s">
        <v>102</v>
      </c>
      <c r="C511" s="15" t="s">
        <v>64</v>
      </c>
      <c r="D511" s="15" t="s">
        <v>65</v>
      </c>
      <c r="E511" s="15" t="s">
        <v>89</v>
      </c>
      <c r="F511" s="15" t="s">
        <v>67</v>
      </c>
      <c r="G511" s="15" t="s">
        <v>68</v>
      </c>
      <c r="H511" s="15" t="s">
        <v>69</v>
      </c>
      <c r="I511" s="16">
        <v>1563506</v>
      </c>
      <c r="J511" s="16">
        <v>1495559</v>
      </c>
      <c r="K511" s="16">
        <v>1549214</v>
      </c>
      <c r="L511" s="17">
        <v>9434</v>
      </c>
      <c r="M511" s="17">
        <v>643.5</v>
      </c>
      <c r="N511" s="17">
        <f t="shared" si="21"/>
        <v>8790.5</v>
      </c>
      <c r="O511" s="17">
        <v>7973.2</v>
      </c>
      <c r="P511" s="17">
        <v>8660.6</v>
      </c>
      <c r="Q511" s="17">
        <v>4756.3999999999996</v>
      </c>
      <c r="R511" s="17">
        <f t="shared" si="22"/>
        <v>4034.1000000000004</v>
      </c>
      <c r="S511" s="17">
        <v>4432.8</v>
      </c>
      <c r="T511" s="17">
        <f t="shared" si="23"/>
        <v>3540.3999999999996</v>
      </c>
    </row>
    <row r="512" spans="1:20" x14ac:dyDescent="0.35">
      <c r="A512" s="14" t="s">
        <v>101</v>
      </c>
      <c r="B512" s="15" t="s">
        <v>102</v>
      </c>
      <c r="C512" s="15" t="s">
        <v>64</v>
      </c>
      <c r="D512" s="15" t="s">
        <v>65</v>
      </c>
      <c r="E512" s="15" t="s">
        <v>89</v>
      </c>
      <c r="F512" s="15" t="s">
        <v>67</v>
      </c>
      <c r="G512" s="15" t="s">
        <v>68</v>
      </c>
      <c r="H512" s="15" t="s">
        <v>70</v>
      </c>
      <c r="I512" s="16">
        <v>1691232</v>
      </c>
      <c r="J512" s="16">
        <v>1595852</v>
      </c>
      <c r="K512" s="16">
        <v>1661631</v>
      </c>
      <c r="L512" s="17">
        <v>12105.4</v>
      </c>
      <c r="M512" s="17">
        <v>938.2</v>
      </c>
      <c r="N512" s="17">
        <f t="shared" si="21"/>
        <v>11167.199999999999</v>
      </c>
      <c r="O512" s="17">
        <v>10060.4</v>
      </c>
      <c r="P512" s="17">
        <v>11002.2</v>
      </c>
      <c r="Q512" s="17">
        <v>6478.3</v>
      </c>
      <c r="R512" s="17">
        <f t="shared" si="22"/>
        <v>4688.8999999999987</v>
      </c>
      <c r="S512" s="17">
        <v>5914.3</v>
      </c>
      <c r="T512" s="17">
        <f t="shared" si="23"/>
        <v>4146.0999999999995</v>
      </c>
    </row>
    <row r="513" spans="1:20" x14ac:dyDescent="0.35">
      <c r="A513" s="14" t="s">
        <v>101</v>
      </c>
      <c r="B513" s="15" t="s">
        <v>102</v>
      </c>
      <c r="C513" s="15" t="s">
        <v>64</v>
      </c>
      <c r="D513" s="15" t="s">
        <v>65</v>
      </c>
      <c r="E513" s="15" t="s">
        <v>89</v>
      </c>
      <c r="F513" s="15" t="s">
        <v>67</v>
      </c>
      <c r="G513" s="15" t="s">
        <v>68</v>
      </c>
      <c r="H513" s="15" t="s">
        <v>71</v>
      </c>
      <c r="I513" s="16">
        <v>1676883</v>
      </c>
      <c r="J513" s="16">
        <v>1605539</v>
      </c>
      <c r="K513" s="16">
        <v>1659942</v>
      </c>
      <c r="L513" s="17">
        <v>14237.5</v>
      </c>
      <c r="M513" s="17">
        <v>864.4</v>
      </c>
      <c r="N513" s="17">
        <f t="shared" si="21"/>
        <v>13373.1</v>
      </c>
      <c r="O513" s="17">
        <v>12149.8</v>
      </c>
      <c r="P513" s="17">
        <v>13162.3</v>
      </c>
      <c r="Q513" s="17">
        <v>8425.7999999999993</v>
      </c>
      <c r="R513" s="17">
        <f t="shared" si="22"/>
        <v>4947.3000000000011</v>
      </c>
      <c r="S513" s="17">
        <v>7743.8</v>
      </c>
      <c r="T513" s="17">
        <f t="shared" si="23"/>
        <v>4405.9999999999991</v>
      </c>
    </row>
    <row r="514" spans="1:20" x14ac:dyDescent="0.35">
      <c r="A514" s="14" t="s">
        <v>101</v>
      </c>
      <c r="B514" s="15" t="s">
        <v>102</v>
      </c>
      <c r="C514" s="15" t="s">
        <v>64</v>
      </c>
      <c r="D514" s="15" t="s">
        <v>65</v>
      </c>
      <c r="E514" s="15" t="s">
        <v>89</v>
      </c>
      <c r="F514" s="15" t="s">
        <v>67</v>
      </c>
      <c r="G514" s="15" t="s">
        <v>68</v>
      </c>
      <c r="H514" s="15" t="s">
        <v>72</v>
      </c>
      <c r="I514" s="16">
        <v>327206</v>
      </c>
      <c r="J514" s="16">
        <v>310185</v>
      </c>
      <c r="K514" s="16">
        <v>321323</v>
      </c>
      <c r="L514" s="17">
        <v>3837.9</v>
      </c>
      <c r="M514" s="17">
        <v>252</v>
      </c>
      <c r="N514" s="17">
        <f t="shared" si="21"/>
        <v>3585.9</v>
      </c>
      <c r="O514" s="17">
        <v>3235.6</v>
      </c>
      <c r="P514" s="17">
        <v>3484.4</v>
      </c>
      <c r="Q514" s="17">
        <v>2256.1</v>
      </c>
      <c r="R514" s="17">
        <f t="shared" si="22"/>
        <v>1329.8000000000002</v>
      </c>
      <c r="S514" s="17">
        <v>2053.5</v>
      </c>
      <c r="T514" s="17">
        <f t="shared" si="23"/>
        <v>1182.0999999999999</v>
      </c>
    </row>
    <row r="515" spans="1:20" x14ac:dyDescent="0.35">
      <c r="A515" s="14" t="s">
        <v>101</v>
      </c>
      <c r="B515" s="15" t="s">
        <v>102</v>
      </c>
      <c r="C515" s="15" t="s">
        <v>64</v>
      </c>
      <c r="D515" s="15" t="s">
        <v>65</v>
      </c>
      <c r="E515" s="15" t="s">
        <v>89</v>
      </c>
      <c r="F515" s="15" t="s">
        <v>67</v>
      </c>
      <c r="G515" s="15" t="s">
        <v>73</v>
      </c>
      <c r="H515" s="15" t="s">
        <v>71</v>
      </c>
      <c r="I515" s="16">
        <v>466479</v>
      </c>
      <c r="J515" s="16">
        <v>409112</v>
      </c>
      <c r="K515" s="16">
        <v>462777</v>
      </c>
      <c r="L515" s="17">
        <v>4211.1000000000004</v>
      </c>
      <c r="M515" s="17">
        <v>300.10000000000002</v>
      </c>
      <c r="N515" s="17">
        <f t="shared" si="21"/>
        <v>3911.0000000000005</v>
      </c>
      <c r="O515" s="17">
        <v>3293.2</v>
      </c>
      <c r="P515" s="17">
        <v>3804.6</v>
      </c>
      <c r="Q515" s="17">
        <v>2395</v>
      </c>
      <c r="R515" s="17">
        <f t="shared" si="22"/>
        <v>1516.0000000000005</v>
      </c>
      <c r="S515" s="17">
        <v>2034.2</v>
      </c>
      <c r="T515" s="17">
        <f t="shared" si="23"/>
        <v>1258.9999999999998</v>
      </c>
    </row>
    <row r="516" spans="1:20" x14ac:dyDescent="0.35">
      <c r="A516" s="14" t="s">
        <v>101</v>
      </c>
      <c r="B516" s="15" t="s">
        <v>102</v>
      </c>
      <c r="C516" s="15" t="s">
        <v>64</v>
      </c>
      <c r="D516" s="15" t="s">
        <v>65</v>
      </c>
      <c r="E516" s="15" t="s">
        <v>89</v>
      </c>
      <c r="F516" s="15" t="s">
        <v>67</v>
      </c>
      <c r="G516" s="15" t="s">
        <v>73</v>
      </c>
      <c r="H516" s="15" t="s">
        <v>72</v>
      </c>
      <c r="I516" s="16">
        <v>117902</v>
      </c>
      <c r="J516" s="16">
        <v>101232</v>
      </c>
      <c r="K516" s="16">
        <v>116840</v>
      </c>
      <c r="L516" s="17">
        <v>1404.7</v>
      </c>
      <c r="M516" s="17">
        <v>93.2</v>
      </c>
      <c r="N516" s="17">
        <f t="shared" ref="N516:N579" si="24">L516-M516</f>
        <v>1311.5</v>
      </c>
      <c r="O516" s="17">
        <v>1077.7</v>
      </c>
      <c r="P516" s="17">
        <v>1281.9000000000001</v>
      </c>
      <c r="Q516" s="17">
        <v>853.2</v>
      </c>
      <c r="R516" s="17">
        <f t="shared" ref="R516:R579" si="25">N516-Q516</f>
        <v>458.29999999999995</v>
      </c>
      <c r="S516" s="17">
        <v>706.5</v>
      </c>
      <c r="T516" s="17">
        <f t="shared" ref="T516:T579" si="26">O516-S516</f>
        <v>371.20000000000005</v>
      </c>
    </row>
    <row r="517" spans="1:20" x14ac:dyDescent="0.35">
      <c r="A517" s="14" t="s">
        <v>101</v>
      </c>
      <c r="B517" s="15" t="s">
        <v>102</v>
      </c>
      <c r="C517" s="15" t="s">
        <v>64</v>
      </c>
      <c r="D517" s="15" t="s">
        <v>65</v>
      </c>
      <c r="E517" s="15" t="s">
        <v>89</v>
      </c>
      <c r="F517" s="15" t="s">
        <v>67</v>
      </c>
      <c r="G517" s="15" t="s">
        <v>74</v>
      </c>
      <c r="H517" s="15" t="s">
        <v>70</v>
      </c>
      <c r="I517" s="16">
        <v>812667</v>
      </c>
      <c r="J517" s="16">
        <v>765902</v>
      </c>
      <c r="K517" s="16">
        <v>805689</v>
      </c>
      <c r="L517" s="17">
        <v>5423.5</v>
      </c>
      <c r="M517" s="17">
        <v>326.7</v>
      </c>
      <c r="N517" s="17">
        <f t="shared" si="24"/>
        <v>5096.8</v>
      </c>
      <c r="O517" s="17">
        <v>4613.2</v>
      </c>
      <c r="P517" s="17">
        <v>4975.3</v>
      </c>
      <c r="Q517" s="17">
        <v>2851.5</v>
      </c>
      <c r="R517" s="17">
        <f t="shared" si="25"/>
        <v>2245.3000000000002</v>
      </c>
      <c r="S517" s="17">
        <v>2623.1</v>
      </c>
      <c r="T517" s="17">
        <f t="shared" si="26"/>
        <v>1990.1</v>
      </c>
    </row>
    <row r="518" spans="1:20" x14ac:dyDescent="0.35">
      <c r="A518" s="14" t="s">
        <v>101</v>
      </c>
      <c r="B518" s="15" t="s">
        <v>102</v>
      </c>
      <c r="C518" s="15" t="s">
        <v>64</v>
      </c>
      <c r="D518" s="15" t="s">
        <v>65</v>
      </c>
      <c r="E518" s="15" t="s">
        <v>89</v>
      </c>
      <c r="F518" s="15" t="s">
        <v>67</v>
      </c>
      <c r="G518" s="15" t="s">
        <v>74</v>
      </c>
      <c r="H518" s="15" t="s">
        <v>71</v>
      </c>
      <c r="I518" s="16">
        <v>624215</v>
      </c>
      <c r="J518" s="16">
        <v>586121</v>
      </c>
      <c r="K518" s="16">
        <v>618603</v>
      </c>
      <c r="L518" s="17">
        <v>5318.8</v>
      </c>
      <c r="M518" s="17">
        <v>334.6</v>
      </c>
      <c r="N518" s="17">
        <f t="shared" si="24"/>
        <v>4984.2</v>
      </c>
      <c r="O518" s="17">
        <v>4447.3</v>
      </c>
      <c r="P518" s="17">
        <v>4910.5</v>
      </c>
      <c r="Q518" s="17">
        <v>3104.7</v>
      </c>
      <c r="R518" s="17">
        <f t="shared" si="25"/>
        <v>1879.5</v>
      </c>
      <c r="S518" s="17">
        <v>2793.2</v>
      </c>
      <c r="T518" s="17">
        <f t="shared" si="26"/>
        <v>1654.1000000000004</v>
      </c>
    </row>
    <row r="519" spans="1:20" x14ac:dyDescent="0.35">
      <c r="A519" s="14" t="s">
        <v>101</v>
      </c>
      <c r="B519" s="15" t="s">
        <v>102</v>
      </c>
      <c r="C519" s="15" t="s">
        <v>64</v>
      </c>
      <c r="D519" s="15" t="s">
        <v>65</v>
      </c>
      <c r="E519" s="15" t="s">
        <v>89</v>
      </c>
      <c r="F519" s="15" t="s">
        <v>67</v>
      </c>
      <c r="G519" s="15" t="s">
        <v>75</v>
      </c>
      <c r="H519" s="15" t="s">
        <v>71</v>
      </c>
      <c r="I519" s="16">
        <v>478579</v>
      </c>
      <c r="J519" s="16">
        <v>457964</v>
      </c>
      <c r="K519" s="16">
        <v>472597</v>
      </c>
      <c r="L519" s="17">
        <v>3976</v>
      </c>
      <c r="M519" s="17">
        <v>250.1</v>
      </c>
      <c r="N519" s="17">
        <f t="shared" si="24"/>
        <v>3725.9</v>
      </c>
      <c r="O519" s="17">
        <v>3401.1</v>
      </c>
      <c r="P519" s="17">
        <v>3612.7</v>
      </c>
      <c r="Q519" s="17">
        <v>2342.4</v>
      </c>
      <c r="R519" s="17">
        <f t="shared" si="25"/>
        <v>1383.5</v>
      </c>
      <c r="S519" s="17">
        <v>2155.8000000000002</v>
      </c>
      <c r="T519" s="17">
        <f t="shared" si="26"/>
        <v>1245.2999999999997</v>
      </c>
    </row>
    <row r="520" spans="1:20" x14ac:dyDescent="0.35">
      <c r="A520" s="14" t="s">
        <v>101</v>
      </c>
      <c r="B520" s="15" t="s">
        <v>102</v>
      </c>
      <c r="C520" s="15" t="s">
        <v>64</v>
      </c>
      <c r="D520" s="15" t="s">
        <v>65</v>
      </c>
      <c r="E520" s="15" t="s">
        <v>89</v>
      </c>
      <c r="F520" s="15" t="s">
        <v>67</v>
      </c>
      <c r="G520" s="15" t="s">
        <v>76</v>
      </c>
      <c r="H520" s="15" t="s">
        <v>72</v>
      </c>
      <c r="I520" s="16">
        <v>93667</v>
      </c>
      <c r="J520" s="16">
        <v>85545</v>
      </c>
      <c r="K520" s="16">
        <v>92924</v>
      </c>
      <c r="L520" s="17">
        <v>1335.5</v>
      </c>
      <c r="M520" s="17">
        <v>85.5</v>
      </c>
      <c r="N520" s="17">
        <f t="shared" si="24"/>
        <v>1250</v>
      </c>
      <c r="O520" s="17">
        <v>1080.9000000000001</v>
      </c>
      <c r="P520" s="17">
        <v>1228.3</v>
      </c>
      <c r="Q520" s="17">
        <v>758.3</v>
      </c>
      <c r="R520" s="17">
        <f t="shared" si="25"/>
        <v>491.70000000000005</v>
      </c>
      <c r="S520" s="17">
        <v>666.3</v>
      </c>
      <c r="T520" s="17">
        <f t="shared" si="26"/>
        <v>414.60000000000014</v>
      </c>
    </row>
    <row r="521" spans="1:20" x14ac:dyDescent="0.35">
      <c r="A521" s="14" t="s">
        <v>101</v>
      </c>
      <c r="B521" s="15" t="s">
        <v>102</v>
      </c>
      <c r="C521" s="15" t="s">
        <v>64</v>
      </c>
      <c r="D521" s="15" t="s">
        <v>65</v>
      </c>
      <c r="E521" s="15" t="s">
        <v>89</v>
      </c>
      <c r="F521" s="15" t="s">
        <v>67</v>
      </c>
      <c r="G521" s="15" t="s">
        <v>77</v>
      </c>
      <c r="H521" s="15" t="s">
        <v>71</v>
      </c>
      <c r="I521" s="16">
        <v>265771</v>
      </c>
      <c r="J521" s="16">
        <v>250240</v>
      </c>
      <c r="K521" s="16">
        <v>260938</v>
      </c>
      <c r="L521" s="17">
        <v>2369.1999999999998</v>
      </c>
      <c r="M521" s="17">
        <v>171.6</v>
      </c>
      <c r="N521" s="17">
        <f t="shared" si="24"/>
        <v>2197.6</v>
      </c>
      <c r="O521" s="17">
        <v>1967.8</v>
      </c>
      <c r="P521" s="17">
        <v>2158.8000000000002</v>
      </c>
      <c r="Q521" s="17">
        <v>1339</v>
      </c>
      <c r="R521" s="17">
        <f t="shared" si="25"/>
        <v>858.59999999999991</v>
      </c>
      <c r="S521" s="17">
        <v>1227.8</v>
      </c>
      <c r="T521" s="17">
        <f t="shared" si="26"/>
        <v>740</v>
      </c>
    </row>
    <row r="522" spans="1:20" x14ac:dyDescent="0.35">
      <c r="A522" s="14" t="s">
        <v>101</v>
      </c>
      <c r="B522" s="15" t="s">
        <v>102</v>
      </c>
      <c r="C522" s="15" t="s">
        <v>64</v>
      </c>
      <c r="D522" s="15" t="s">
        <v>65</v>
      </c>
      <c r="E522" s="15" t="s">
        <v>89</v>
      </c>
      <c r="F522" s="15" t="s">
        <v>67</v>
      </c>
      <c r="G522" s="15" t="s">
        <v>78</v>
      </c>
      <c r="H522" s="15" t="s">
        <v>71</v>
      </c>
      <c r="I522" s="16">
        <v>358391</v>
      </c>
      <c r="J522" s="16">
        <v>344005</v>
      </c>
      <c r="K522" s="16">
        <v>355547</v>
      </c>
      <c r="L522" s="17">
        <v>2947.7</v>
      </c>
      <c r="M522" s="17">
        <v>221.8</v>
      </c>
      <c r="N522" s="17">
        <f t="shared" si="24"/>
        <v>2725.8999999999996</v>
      </c>
      <c r="O522" s="17">
        <v>2513.1999999999998</v>
      </c>
      <c r="P522" s="17">
        <v>2668</v>
      </c>
      <c r="Q522" s="17">
        <v>1679.2</v>
      </c>
      <c r="R522" s="17">
        <f t="shared" si="25"/>
        <v>1046.6999999999996</v>
      </c>
      <c r="S522" s="17">
        <v>1564.7</v>
      </c>
      <c r="T522" s="17">
        <f t="shared" si="26"/>
        <v>948.49999999999977</v>
      </c>
    </row>
    <row r="523" spans="1:20" x14ac:dyDescent="0.35">
      <c r="A523" s="14" t="s">
        <v>101</v>
      </c>
      <c r="B523" s="15" t="s">
        <v>102</v>
      </c>
      <c r="C523" s="15" t="s">
        <v>64</v>
      </c>
      <c r="D523" s="15" t="s">
        <v>65</v>
      </c>
      <c r="E523" s="15" t="s">
        <v>89</v>
      </c>
      <c r="F523" s="15" t="s">
        <v>79</v>
      </c>
      <c r="G523" s="15" t="s">
        <v>80</v>
      </c>
      <c r="H523" s="15" t="s">
        <v>71</v>
      </c>
      <c r="I523" s="16">
        <v>522381</v>
      </c>
      <c r="J523" s="16">
        <v>486350</v>
      </c>
      <c r="K523" s="16">
        <v>518235</v>
      </c>
      <c r="L523" s="17">
        <v>2796.8</v>
      </c>
      <c r="M523" s="17">
        <v>170</v>
      </c>
      <c r="N523" s="17">
        <f t="shared" si="24"/>
        <v>2626.8</v>
      </c>
      <c r="O523" s="17">
        <v>2342</v>
      </c>
      <c r="P523" s="17">
        <v>2550.3000000000002</v>
      </c>
      <c r="Q523" s="17">
        <v>1548.2</v>
      </c>
      <c r="R523" s="17">
        <f t="shared" si="25"/>
        <v>1078.6000000000001</v>
      </c>
      <c r="S523" s="17">
        <v>1390.6</v>
      </c>
      <c r="T523" s="17">
        <f t="shared" si="26"/>
        <v>951.40000000000009</v>
      </c>
    </row>
    <row r="524" spans="1:20" x14ac:dyDescent="0.35">
      <c r="A524" s="14" t="s">
        <v>101</v>
      </c>
      <c r="B524" s="15" t="s">
        <v>102</v>
      </c>
      <c r="C524" s="15" t="s">
        <v>64</v>
      </c>
      <c r="D524" s="15" t="s">
        <v>65</v>
      </c>
      <c r="E524" s="15" t="s">
        <v>89</v>
      </c>
      <c r="F524" s="15" t="s">
        <v>81</v>
      </c>
      <c r="G524" s="15" t="s">
        <v>82</v>
      </c>
      <c r="H524" s="15" t="s">
        <v>71</v>
      </c>
      <c r="I524" s="16">
        <v>160941</v>
      </c>
      <c r="J524" s="16">
        <v>145990</v>
      </c>
      <c r="K524" s="16">
        <v>159664</v>
      </c>
      <c r="L524" s="17">
        <v>1839.9</v>
      </c>
      <c r="M524" s="17">
        <v>110.8</v>
      </c>
      <c r="N524" s="17">
        <f t="shared" si="24"/>
        <v>1729.1000000000001</v>
      </c>
      <c r="O524" s="17">
        <v>1481.3</v>
      </c>
      <c r="P524" s="17">
        <v>1702.5</v>
      </c>
      <c r="Q524" s="17">
        <v>1047.0999999999999</v>
      </c>
      <c r="R524" s="17">
        <f t="shared" si="25"/>
        <v>682.00000000000023</v>
      </c>
      <c r="S524" s="17">
        <v>908.4</v>
      </c>
      <c r="T524" s="17">
        <f t="shared" si="26"/>
        <v>572.9</v>
      </c>
    </row>
    <row r="525" spans="1:20" x14ac:dyDescent="0.35">
      <c r="A525" s="14" t="s">
        <v>101</v>
      </c>
      <c r="B525" s="15" t="s">
        <v>102</v>
      </c>
      <c r="C525" s="15" t="s">
        <v>64</v>
      </c>
      <c r="D525" s="15" t="s">
        <v>65</v>
      </c>
      <c r="E525" s="15" t="s">
        <v>89</v>
      </c>
      <c r="F525" s="15" t="s">
        <v>83</v>
      </c>
      <c r="G525" s="15" t="s">
        <v>84</v>
      </c>
      <c r="H525" s="15" t="s">
        <v>72</v>
      </c>
      <c r="I525" s="16">
        <v>68681</v>
      </c>
      <c r="J525" s="16">
        <v>57036</v>
      </c>
      <c r="K525" s="16">
        <v>67814</v>
      </c>
      <c r="L525" s="17">
        <v>2476.5</v>
      </c>
      <c r="M525" s="17">
        <v>197</v>
      </c>
      <c r="N525" s="17">
        <f t="shared" si="24"/>
        <v>2279.5</v>
      </c>
      <c r="O525" s="17">
        <v>1804.7</v>
      </c>
      <c r="P525" s="17">
        <v>2218.1</v>
      </c>
      <c r="Q525" s="17">
        <v>1331.2</v>
      </c>
      <c r="R525" s="17">
        <f t="shared" si="25"/>
        <v>948.3</v>
      </c>
      <c r="S525" s="17">
        <v>1075.3</v>
      </c>
      <c r="T525" s="17">
        <f t="shared" si="26"/>
        <v>729.40000000000009</v>
      </c>
    </row>
    <row r="526" spans="1:20" x14ac:dyDescent="0.35">
      <c r="A526" s="14" t="s">
        <v>101</v>
      </c>
      <c r="B526" s="15" t="s">
        <v>102</v>
      </c>
      <c r="C526" s="15" t="s">
        <v>64</v>
      </c>
      <c r="D526" s="15" t="s">
        <v>65</v>
      </c>
      <c r="E526" s="15" t="s">
        <v>89</v>
      </c>
      <c r="F526" s="15" t="s">
        <v>85</v>
      </c>
      <c r="G526" s="15" t="s">
        <v>86</v>
      </c>
      <c r="H526" s="15" t="s">
        <v>72</v>
      </c>
      <c r="I526" s="16">
        <v>53641</v>
      </c>
      <c r="J526" s="16">
        <v>49699</v>
      </c>
      <c r="K526" s="16">
        <v>52718</v>
      </c>
      <c r="L526" s="17">
        <v>1149.8</v>
      </c>
      <c r="M526" s="17">
        <v>78</v>
      </c>
      <c r="N526" s="17">
        <f t="shared" si="24"/>
        <v>1071.8</v>
      </c>
      <c r="O526" s="17">
        <v>944.4</v>
      </c>
      <c r="P526" s="17">
        <v>1042.0999999999999</v>
      </c>
      <c r="Q526" s="17">
        <v>692</v>
      </c>
      <c r="R526" s="17">
        <f t="shared" si="25"/>
        <v>379.79999999999995</v>
      </c>
      <c r="S526" s="17">
        <v>616.79999999999995</v>
      </c>
      <c r="T526" s="17">
        <f t="shared" si="26"/>
        <v>327.60000000000002</v>
      </c>
    </row>
    <row r="527" spans="1:20" x14ac:dyDescent="0.35">
      <c r="A527" s="14" t="s">
        <v>101</v>
      </c>
      <c r="B527" s="15" t="s">
        <v>102</v>
      </c>
      <c r="C527" s="15" t="s">
        <v>64</v>
      </c>
      <c r="D527" s="15" t="s">
        <v>65</v>
      </c>
      <c r="E527" s="15" t="s">
        <v>89</v>
      </c>
      <c r="F527" s="15" t="s">
        <v>87</v>
      </c>
      <c r="G527" s="15" t="s">
        <v>88</v>
      </c>
      <c r="H527" s="15" t="s">
        <v>72</v>
      </c>
      <c r="I527" s="16">
        <v>25038</v>
      </c>
      <c r="J527" s="16">
        <v>20970</v>
      </c>
      <c r="K527" s="16">
        <v>24780</v>
      </c>
      <c r="L527" s="17">
        <v>763.4</v>
      </c>
      <c r="M527" s="17">
        <v>60.8</v>
      </c>
      <c r="N527" s="17">
        <f t="shared" si="24"/>
        <v>702.6</v>
      </c>
      <c r="O527" s="17">
        <v>565</v>
      </c>
      <c r="P527" s="17">
        <v>687.8</v>
      </c>
      <c r="Q527" s="17">
        <v>428.5</v>
      </c>
      <c r="R527" s="17">
        <f t="shared" si="25"/>
        <v>274.10000000000002</v>
      </c>
      <c r="S527" s="17">
        <v>349</v>
      </c>
      <c r="T527" s="17">
        <f t="shared" si="26"/>
        <v>216</v>
      </c>
    </row>
    <row r="528" spans="1:20" x14ac:dyDescent="0.35">
      <c r="A528" s="14" t="s">
        <v>101</v>
      </c>
      <c r="B528" s="15" t="s">
        <v>102</v>
      </c>
      <c r="C528" s="15" t="s">
        <v>64</v>
      </c>
      <c r="D528" s="15" t="s">
        <v>65</v>
      </c>
      <c r="E528" s="15" t="s">
        <v>90</v>
      </c>
      <c r="F528" s="15" t="s">
        <v>67</v>
      </c>
      <c r="G528" s="15" t="s">
        <v>68</v>
      </c>
      <c r="H528" s="15" t="s">
        <v>69</v>
      </c>
      <c r="I528" s="16">
        <v>530316</v>
      </c>
      <c r="J528" s="16">
        <v>510502</v>
      </c>
      <c r="K528" s="16">
        <v>526107</v>
      </c>
      <c r="L528" s="17">
        <v>2923</v>
      </c>
      <c r="M528" s="17">
        <v>320.10000000000002</v>
      </c>
      <c r="N528" s="17">
        <f t="shared" si="24"/>
        <v>2602.9</v>
      </c>
      <c r="O528" s="17">
        <v>2404.8000000000002</v>
      </c>
      <c r="P528" s="17">
        <v>2564.4</v>
      </c>
      <c r="Q528" s="17">
        <v>1428.4</v>
      </c>
      <c r="R528" s="17">
        <f t="shared" si="25"/>
        <v>1174.5</v>
      </c>
      <c r="S528" s="17">
        <v>1355.6</v>
      </c>
      <c r="T528" s="17">
        <f t="shared" si="26"/>
        <v>1049.2000000000003</v>
      </c>
    </row>
    <row r="529" spans="1:20" x14ac:dyDescent="0.35">
      <c r="A529" s="14" t="s">
        <v>101</v>
      </c>
      <c r="B529" s="15" t="s">
        <v>102</v>
      </c>
      <c r="C529" s="15" t="s">
        <v>64</v>
      </c>
      <c r="D529" s="15" t="s">
        <v>65</v>
      </c>
      <c r="E529" s="15" t="s">
        <v>90</v>
      </c>
      <c r="F529" s="15" t="s">
        <v>67</v>
      </c>
      <c r="G529" s="15" t="s">
        <v>68</v>
      </c>
      <c r="H529" s="15" t="s">
        <v>70</v>
      </c>
      <c r="I529" s="16">
        <v>719764</v>
      </c>
      <c r="J529" s="16">
        <v>674450</v>
      </c>
      <c r="K529" s="16">
        <v>710557</v>
      </c>
      <c r="L529" s="17">
        <v>4697.6000000000004</v>
      </c>
      <c r="M529" s="17">
        <v>490.9</v>
      </c>
      <c r="N529" s="17">
        <f t="shared" si="24"/>
        <v>4206.7000000000007</v>
      </c>
      <c r="O529" s="17">
        <v>3748.4</v>
      </c>
      <c r="P529" s="17">
        <v>4136.8999999999996</v>
      </c>
      <c r="Q529" s="17">
        <v>2388</v>
      </c>
      <c r="R529" s="17">
        <f t="shared" si="25"/>
        <v>1818.7000000000007</v>
      </c>
      <c r="S529" s="17">
        <v>2180.8000000000002</v>
      </c>
      <c r="T529" s="17">
        <f t="shared" si="26"/>
        <v>1567.6</v>
      </c>
    </row>
    <row r="530" spans="1:20" x14ac:dyDescent="0.35">
      <c r="A530" s="14" t="s">
        <v>101</v>
      </c>
      <c r="B530" s="15" t="s">
        <v>102</v>
      </c>
      <c r="C530" s="15" t="s">
        <v>64</v>
      </c>
      <c r="D530" s="15" t="s">
        <v>65</v>
      </c>
      <c r="E530" s="15" t="s">
        <v>90</v>
      </c>
      <c r="F530" s="15" t="s">
        <v>67</v>
      </c>
      <c r="G530" s="15" t="s">
        <v>68</v>
      </c>
      <c r="H530" s="15" t="s">
        <v>71</v>
      </c>
      <c r="I530" s="16">
        <v>998406</v>
      </c>
      <c r="J530" s="16">
        <v>966160</v>
      </c>
      <c r="K530" s="16">
        <v>990228</v>
      </c>
      <c r="L530" s="17">
        <v>7899.6</v>
      </c>
      <c r="M530" s="17">
        <v>844.3</v>
      </c>
      <c r="N530" s="17">
        <f t="shared" si="24"/>
        <v>7055.3</v>
      </c>
      <c r="O530" s="17">
        <v>6467.6</v>
      </c>
      <c r="P530" s="17">
        <v>6881.1</v>
      </c>
      <c r="Q530" s="17">
        <v>4391</v>
      </c>
      <c r="R530" s="17">
        <f t="shared" si="25"/>
        <v>2664.3</v>
      </c>
      <c r="S530" s="17">
        <v>4083.7</v>
      </c>
      <c r="T530" s="17">
        <f t="shared" si="26"/>
        <v>2383.9000000000005</v>
      </c>
    </row>
    <row r="531" spans="1:20" x14ac:dyDescent="0.35">
      <c r="A531" s="14" t="s">
        <v>101</v>
      </c>
      <c r="B531" s="15" t="s">
        <v>102</v>
      </c>
      <c r="C531" s="15" t="s">
        <v>64</v>
      </c>
      <c r="D531" s="15" t="s">
        <v>65</v>
      </c>
      <c r="E531" s="15" t="s">
        <v>90</v>
      </c>
      <c r="F531" s="15" t="s">
        <v>67</v>
      </c>
      <c r="G531" s="15" t="s">
        <v>68</v>
      </c>
      <c r="H531" s="15" t="s">
        <v>72</v>
      </c>
      <c r="I531" s="16">
        <v>260193</v>
      </c>
      <c r="J531" s="16">
        <v>247316</v>
      </c>
      <c r="K531" s="16">
        <v>258128</v>
      </c>
      <c r="L531" s="17">
        <v>2903.4</v>
      </c>
      <c r="M531" s="17">
        <v>342.2</v>
      </c>
      <c r="N531" s="17">
        <f t="shared" si="24"/>
        <v>2561.2000000000003</v>
      </c>
      <c r="O531" s="17">
        <v>2315.1999999999998</v>
      </c>
      <c r="P531" s="17">
        <v>2506.9</v>
      </c>
      <c r="Q531" s="17">
        <v>1645.5</v>
      </c>
      <c r="R531" s="17">
        <f t="shared" si="25"/>
        <v>915.70000000000027</v>
      </c>
      <c r="S531" s="17">
        <v>1511.3</v>
      </c>
      <c r="T531" s="17">
        <f t="shared" si="26"/>
        <v>803.89999999999986</v>
      </c>
    </row>
    <row r="532" spans="1:20" x14ac:dyDescent="0.35">
      <c r="A532" s="14" t="s">
        <v>101</v>
      </c>
      <c r="B532" s="15" t="s">
        <v>102</v>
      </c>
      <c r="C532" s="15" t="s">
        <v>64</v>
      </c>
      <c r="D532" s="15" t="s">
        <v>65</v>
      </c>
      <c r="E532" s="15" t="s">
        <v>90</v>
      </c>
      <c r="F532" s="15" t="s">
        <v>67</v>
      </c>
      <c r="G532" s="15" t="s">
        <v>73</v>
      </c>
      <c r="H532" s="15" t="s">
        <v>71</v>
      </c>
      <c r="I532" s="16">
        <v>256145</v>
      </c>
      <c r="J532" s="16">
        <v>223279</v>
      </c>
      <c r="K532" s="16">
        <v>254112</v>
      </c>
      <c r="L532" s="17">
        <v>2101.6</v>
      </c>
      <c r="M532" s="17">
        <v>251.5</v>
      </c>
      <c r="N532" s="17">
        <f t="shared" si="24"/>
        <v>1850.1</v>
      </c>
      <c r="O532" s="17">
        <v>1546.1</v>
      </c>
      <c r="P532" s="17">
        <v>1803.9</v>
      </c>
      <c r="Q532" s="17">
        <v>1160.5999999999999</v>
      </c>
      <c r="R532" s="17">
        <f t="shared" si="25"/>
        <v>689.5</v>
      </c>
      <c r="S532" s="17">
        <v>977.7</v>
      </c>
      <c r="T532" s="17">
        <f t="shared" si="26"/>
        <v>568.39999999999986</v>
      </c>
    </row>
    <row r="533" spans="1:20" x14ac:dyDescent="0.35">
      <c r="A533" s="14" t="s">
        <v>101</v>
      </c>
      <c r="B533" s="15" t="s">
        <v>102</v>
      </c>
      <c r="C533" s="15" t="s">
        <v>64</v>
      </c>
      <c r="D533" s="15" t="s">
        <v>65</v>
      </c>
      <c r="E533" s="15" t="s">
        <v>90</v>
      </c>
      <c r="F533" s="15" t="s">
        <v>67</v>
      </c>
      <c r="G533" s="15" t="s">
        <v>73</v>
      </c>
      <c r="H533" s="15" t="s">
        <v>72</v>
      </c>
      <c r="I533" s="16">
        <v>91817</v>
      </c>
      <c r="J533" s="16">
        <v>79531</v>
      </c>
      <c r="K533" s="16">
        <v>90690</v>
      </c>
      <c r="L533" s="17">
        <v>1008.3</v>
      </c>
      <c r="M533" s="17">
        <v>108.5</v>
      </c>
      <c r="N533" s="17">
        <f t="shared" si="24"/>
        <v>899.8</v>
      </c>
      <c r="O533" s="17">
        <v>742</v>
      </c>
      <c r="P533" s="17">
        <v>878.4</v>
      </c>
      <c r="Q533" s="17">
        <v>585</v>
      </c>
      <c r="R533" s="17">
        <f t="shared" si="25"/>
        <v>314.79999999999995</v>
      </c>
      <c r="S533" s="17">
        <v>487.1</v>
      </c>
      <c r="T533" s="17">
        <f t="shared" si="26"/>
        <v>254.89999999999998</v>
      </c>
    </row>
    <row r="534" spans="1:20" x14ac:dyDescent="0.35">
      <c r="A534" s="14" t="s">
        <v>101</v>
      </c>
      <c r="B534" s="15" t="s">
        <v>102</v>
      </c>
      <c r="C534" s="15" t="s">
        <v>64</v>
      </c>
      <c r="D534" s="15" t="s">
        <v>65</v>
      </c>
      <c r="E534" s="15" t="s">
        <v>90</v>
      </c>
      <c r="F534" s="15" t="s">
        <v>67</v>
      </c>
      <c r="G534" s="15" t="s">
        <v>74</v>
      </c>
      <c r="H534" s="15" t="s">
        <v>70</v>
      </c>
      <c r="I534" s="16">
        <v>287157</v>
      </c>
      <c r="J534" s="16">
        <v>269662</v>
      </c>
      <c r="K534" s="16">
        <v>282785</v>
      </c>
      <c r="L534" s="17">
        <v>1750.6</v>
      </c>
      <c r="M534" s="17">
        <v>178.1</v>
      </c>
      <c r="N534" s="17">
        <f t="shared" si="24"/>
        <v>1572.5</v>
      </c>
      <c r="O534" s="17">
        <v>1393.6</v>
      </c>
      <c r="P534" s="17">
        <v>1539.6</v>
      </c>
      <c r="Q534" s="17">
        <v>910.3</v>
      </c>
      <c r="R534" s="17">
        <f t="shared" si="25"/>
        <v>662.2</v>
      </c>
      <c r="S534" s="17">
        <v>814.9</v>
      </c>
      <c r="T534" s="17">
        <f t="shared" si="26"/>
        <v>578.69999999999993</v>
      </c>
    </row>
    <row r="535" spans="1:20" x14ac:dyDescent="0.35">
      <c r="A535" s="14" t="s">
        <v>101</v>
      </c>
      <c r="B535" s="15" t="s">
        <v>102</v>
      </c>
      <c r="C535" s="15" t="s">
        <v>64</v>
      </c>
      <c r="D535" s="15" t="s">
        <v>65</v>
      </c>
      <c r="E535" s="15" t="s">
        <v>90</v>
      </c>
      <c r="F535" s="15" t="s">
        <v>67</v>
      </c>
      <c r="G535" s="15" t="s">
        <v>74</v>
      </c>
      <c r="H535" s="15" t="s">
        <v>71</v>
      </c>
      <c r="I535" s="16">
        <v>370495</v>
      </c>
      <c r="J535" s="16">
        <v>354787</v>
      </c>
      <c r="K535" s="16">
        <v>366490</v>
      </c>
      <c r="L535" s="17">
        <v>2954.4</v>
      </c>
      <c r="M535" s="17">
        <v>354.5</v>
      </c>
      <c r="N535" s="17">
        <f t="shared" si="24"/>
        <v>2599.9</v>
      </c>
      <c r="O535" s="17">
        <v>2389.1999999999998</v>
      </c>
      <c r="P535" s="17">
        <v>2530.3000000000002</v>
      </c>
      <c r="Q535" s="17">
        <v>1615.4</v>
      </c>
      <c r="R535" s="17">
        <f t="shared" si="25"/>
        <v>984.5</v>
      </c>
      <c r="S535" s="17">
        <v>1495.8</v>
      </c>
      <c r="T535" s="17">
        <f t="shared" si="26"/>
        <v>893.39999999999986</v>
      </c>
    </row>
    <row r="536" spans="1:20" x14ac:dyDescent="0.35">
      <c r="A536" s="14" t="s">
        <v>101</v>
      </c>
      <c r="B536" s="15" t="s">
        <v>102</v>
      </c>
      <c r="C536" s="15" t="s">
        <v>64</v>
      </c>
      <c r="D536" s="15" t="s">
        <v>65</v>
      </c>
      <c r="E536" s="15" t="s">
        <v>90</v>
      </c>
      <c r="F536" s="15" t="s">
        <v>67</v>
      </c>
      <c r="G536" s="15" t="s">
        <v>75</v>
      </c>
      <c r="H536" s="15" t="s">
        <v>71</v>
      </c>
      <c r="I536" s="16">
        <v>299697</v>
      </c>
      <c r="J536" s="16">
        <v>287741</v>
      </c>
      <c r="K536" s="16">
        <v>295140</v>
      </c>
      <c r="L536" s="17">
        <v>2343.8000000000002</v>
      </c>
      <c r="M536" s="17">
        <v>261.8</v>
      </c>
      <c r="N536" s="17">
        <f t="shared" si="24"/>
        <v>2082</v>
      </c>
      <c r="O536" s="17">
        <v>1903.9</v>
      </c>
      <c r="P536" s="17">
        <v>2024.7</v>
      </c>
      <c r="Q536" s="17">
        <v>1284.5999999999999</v>
      </c>
      <c r="R536" s="17">
        <f t="shared" si="25"/>
        <v>797.40000000000009</v>
      </c>
      <c r="S536" s="17">
        <v>1192.2</v>
      </c>
      <c r="T536" s="17">
        <f t="shared" si="26"/>
        <v>711.7</v>
      </c>
    </row>
    <row r="537" spans="1:20" x14ac:dyDescent="0.35">
      <c r="A537" s="14" t="s">
        <v>101</v>
      </c>
      <c r="B537" s="15" t="s">
        <v>102</v>
      </c>
      <c r="C537" s="15" t="s">
        <v>64</v>
      </c>
      <c r="D537" s="15" t="s">
        <v>65</v>
      </c>
      <c r="E537" s="15" t="s">
        <v>90</v>
      </c>
      <c r="F537" s="15" t="s">
        <v>67</v>
      </c>
      <c r="G537" s="15" t="s">
        <v>76</v>
      </c>
      <c r="H537" s="15" t="s">
        <v>72</v>
      </c>
      <c r="I537" s="16">
        <v>68939</v>
      </c>
      <c r="J537" s="16">
        <v>63586</v>
      </c>
      <c r="K537" s="16">
        <v>68348</v>
      </c>
      <c r="L537" s="17">
        <v>874.9</v>
      </c>
      <c r="M537" s="17">
        <v>87.7</v>
      </c>
      <c r="N537" s="17">
        <f t="shared" si="24"/>
        <v>787.19999999999993</v>
      </c>
      <c r="O537" s="17">
        <v>685.6</v>
      </c>
      <c r="P537" s="17">
        <v>775.6</v>
      </c>
      <c r="Q537" s="17">
        <v>482.2</v>
      </c>
      <c r="R537" s="17">
        <f t="shared" si="25"/>
        <v>304.99999999999994</v>
      </c>
      <c r="S537" s="17">
        <v>424.7</v>
      </c>
      <c r="T537" s="17">
        <f t="shared" si="26"/>
        <v>260.90000000000003</v>
      </c>
    </row>
    <row r="538" spans="1:20" x14ac:dyDescent="0.35">
      <c r="A538" s="14" t="s">
        <v>101</v>
      </c>
      <c r="B538" s="15" t="s">
        <v>102</v>
      </c>
      <c r="C538" s="15" t="s">
        <v>64</v>
      </c>
      <c r="D538" s="15" t="s">
        <v>65</v>
      </c>
      <c r="E538" s="15" t="s">
        <v>90</v>
      </c>
      <c r="F538" s="15" t="s">
        <v>67</v>
      </c>
      <c r="G538" s="15" t="s">
        <v>77</v>
      </c>
      <c r="H538" s="15" t="s">
        <v>71</v>
      </c>
      <c r="I538" s="16">
        <v>154425</v>
      </c>
      <c r="J538" s="16">
        <v>146949</v>
      </c>
      <c r="K538" s="16">
        <v>153199</v>
      </c>
      <c r="L538" s="17">
        <v>1211.5</v>
      </c>
      <c r="M538" s="17">
        <v>141.6</v>
      </c>
      <c r="N538" s="17">
        <f t="shared" si="24"/>
        <v>1069.9000000000001</v>
      </c>
      <c r="O538" s="17">
        <v>962.2</v>
      </c>
      <c r="P538" s="17">
        <v>1042.4000000000001</v>
      </c>
      <c r="Q538" s="17">
        <v>670.2</v>
      </c>
      <c r="R538" s="17">
        <f t="shared" si="25"/>
        <v>399.70000000000005</v>
      </c>
      <c r="S538" s="17">
        <v>616.70000000000005</v>
      </c>
      <c r="T538" s="17">
        <f t="shared" si="26"/>
        <v>345.5</v>
      </c>
    </row>
    <row r="539" spans="1:20" x14ac:dyDescent="0.35">
      <c r="A539" s="14" t="s">
        <v>101</v>
      </c>
      <c r="B539" s="15" t="s">
        <v>102</v>
      </c>
      <c r="C539" s="15" t="s">
        <v>64</v>
      </c>
      <c r="D539" s="15" t="s">
        <v>65</v>
      </c>
      <c r="E539" s="15" t="s">
        <v>90</v>
      </c>
      <c r="F539" s="15" t="s">
        <v>67</v>
      </c>
      <c r="G539" s="15" t="s">
        <v>78</v>
      </c>
      <c r="H539" s="15" t="s">
        <v>71</v>
      </c>
      <c r="I539" s="16">
        <v>182296</v>
      </c>
      <c r="J539" s="16">
        <v>172105</v>
      </c>
      <c r="K539" s="16">
        <v>180374</v>
      </c>
      <c r="L539" s="17">
        <v>1423.2</v>
      </c>
      <c r="M539" s="17">
        <v>147.9</v>
      </c>
      <c r="N539" s="17">
        <f t="shared" si="24"/>
        <v>1275.3</v>
      </c>
      <c r="O539" s="17">
        <v>1139.5999999999999</v>
      </c>
      <c r="P539" s="17">
        <v>1239</v>
      </c>
      <c r="Q539" s="17">
        <v>774.9</v>
      </c>
      <c r="R539" s="17">
        <f t="shared" si="25"/>
        <v>500.4</v>
      </c>
      <c r="S539" s="17">
        <v>703.3</v>
      </c>
      <c r="T539" s="17">
        <f t="shared" si="26"/>
        <v>436.29999999999995</v>
      </c>
    </row>
    <row r="540" spans="1:20" x14ac:dyDescent="0.35">
      <c r="A540" s="14" t="s">
        <v>101</v>
      </c>
      <c r="B540" s="15" t="s">
        <v>102</v>
      </c>
      <c r="C540" s="15" t="s">
        <v>64</v>
      </c>
      <c r="D540" s="15" t="s">
        <v>65</v>
      </c>
      <c r="E540" s="15" t="s">
        <v>90</v>
      </c>
      <c r="F540" s="15" t="s">
        <v>79</v>
      </c>
      <c r="G540" s="15" t="s">
        <v>80</v>
      </c>
      <c r="H540" s="15" t="s">
        <v>71</v>
      </c>
      <c r="I540" s="16">
        <v>296659</v>
      </c>
      <c r="J540" s="16">
        <v>280378</v>
      </c>
      <c r="K540" s="16">
        <v>292687</v>
      </c>
      <c r="L540" s="17">
        <v>1473.3</v>
      </c>
      <c r="M540" s="17">
        <v>175.2</v>
      </c>
      <c r="N540" s="17">
        <f t="shared" si="24"/>
        <v>1298.0999999999999</v>
      </c>
      <c r="O540" s="17">
        <v>1159.7</v>
      </c>
      <c r="P540" s="17">
        <v>1278.9000000000001</v>
      </c>
      <c r="Q540" s="17">
        <v>775</v>
      </c>
      <c r="R540" s="17">
        <f t="shared" si="25"/>
        <v>523.09999999999991</v>
      </c>
      <c r="S540" s="17">
        <v>705.4</v>
      </c>
      <c r="T540" s="17">
        <f t="shared" si="26"/>
        <v>454.30000000000007</v>
      </c>
    </row>
    <row r="541" spans="1:20" x14ac:dyDescent="0.35">
      <c r="A541" s="14" t="s">
        <v>101</v>
      </c>
      <c r="B541" s="15" t="s">
        <v>102</v>
      </c>
      <c r="C541" s="15" t="s">
        <v>64</v>
      </c>
      <c r="D541" s="15" t="s">
        <v>65</v>
      </c>
      <c r="E541" s="15" t="s">
        <v>90</v>
      </c>
      <c r="F541" s="15" t="s">
        <v>81</v>
      </c>
      <c r="G541" s="15" t="s">
        <v>82</v>
      </c>
      <c r="H541" s="15" t="s">
        <v>71</v>
      </c>
      <c r="I541" s="16">
        <v>85299</v>
      </c>
      <c r="J541" s="16">
        <v>79036</v>
      </c>
      <c r="K541" s="16">
        <v>83686</v>
      </c>
      <c r="L541" s="17">
        <v>902.4</v>
      </c>
      <c r="M541" s="17">
        <v>92.2</v>
      </c>
      <c r="N541" s="17">
        <f t="shared" si="24"/>
        <v>810.19999999999993</v>
      </c>
      <c r="O541" s="17">
        <v>710.7</v>
      </c>
      <c r="P541" s="17">
        <v>789.5</v>
      </c>
      <c r="Q541" s="17">
        <v>508.3</v>
      </c>
      <c r="R541" s="17">
        <f t="shared" si="25"/>
        <v>301.89999999999992</v>
      </c>
      <c r="S541" s="17">
        <v>451.9</v>
      </c>
      <c r="T541" s="17">
        <f t="shared" si="26"/>
        <v>258.80000000000007</v>
      </c>
    </row>
    <row r="542" spans="1:20" x14ac:dyDescent="0.35">
      <c r="A542" s="14" t="s">
        <v>101</v>
      </c>
      <c r="B542" s="15" t="s">
        <v>102</v>
      </c>
      <c r="C542" s="15" t="s">
        <v>64</v>
      </c>
      <c r="D542" s="15" t="s">
        <v>65</v>
      </c>
      <c r="E542" s="15" t="s">
        <v>90</v>
      </c>
      <c r="F542" s="15" t="s">
        <v>83</v>
      </c>
      <c r="G542" s="15" t="s">
        <v>84</v>
      </c>
      <c r="H542" s="15" t="s">
        <v>72</v>
      </c>
      <c r="I542" s="16">
        <v>55081</v>
      </c>
      <c r="J542" s="16">
        <v>45494</v>
      </c>
      <c r="K542" s="16">
        <v>54644</v>
      </c>
      <c r="L542" s="17">
        <v>1842</v>
      </c>
      <c r="M542" s="17">
        <v>209.8</v>
      </c>
      <c r="N542" s="17">
        <f t="shared" si="24"/>
        <v>1632.2</v>
      </c>
      <c r="O542" s="17">
        <v>1275.0999999999999</v>
      </c>
      <c r="P542" s="17">
        <v>1599</v>
      </c>
      <c r="Q542" s="17">
        <v>937.6</v>
      </c>
      <c r="R542" s="17">
        <f t="shared" si="25"/>
        <v>694.6</v>
      </c>
      <c r="S542" s="17">
        <v>751.4</v>
      </c>
      <c r="T542" s="17">
        <f t="shared" si="26"/>
        <v>523.69999999999993</v>
      </c>
    </row>
    <row r="543" spans="1:20" x14ac:dyDescent="0.35">
      <c r="A543" s="14" t="s">
        <v>101</v>
      </c>
      <c r="B543" s="15" t="s">
        <v>102</v>
      </c>
      <c r="C543" s="15" t="s">
        <v>64</v>
      </c>
      <c r="D543" s="15" t="s">
        <v>65</v>
      </c>
      <c r="E543" s="15" t="s">
        <v>90</v>
      </c>
      <c r="F543" s="15" t="s">
        <v>85</v>
      </c>
      <c r="G543" s="15" t="s">
        <v>86</v>
      </c>
      <c r="H543" s="15" t="s">
        <v>72</v>
      </c>
      <c r="I543" s="16">
        <v>40645</v>
      </c>
      <c r="J543" s="16">
        <v>37970</v>
      </c>
      <c r="K543" s="16">
        <v>40322</v>
      </c>
      <c r="L543" s="17">
        <v>803.5</v>
      </c>
      <c r="M543" s="17">
        <v>94.3</v>
      </c>
      <c r="N543" s="17">
        <f t="shared" si="24"/>
        <v>709.2</v>
      </c>
      <c r="O543" s="17">
        <v>634.6</v>
      </c>
      <c r="P543" s="17">
        <v>688.2</v>
      </c>
      <c r="Q543" s="17">
        <v>462.7</v>
      </c>
      <c r="R543" s="17">
        <f t="shared" si="25"/>
        <v>246.50000000000006</v>
      </c>
      <c r="S543" s="17">
        <v>418.9</v>
      </c>
      <c r="T543" s="17">
        <f t="shared" si="26"/>
        <v>215.70000000000005</v>
      </c>
    </row>
    <row r="544" spans="1:20" x14ac:dyDescent="0.35">
      <c r="A544" s="14" t="s">
        <v>101</v>
      </c>
      <c r="B544" s="15" t="s">
        <v>102</v>
      </c>
      <c r="C544" s="15" t="s">
        <v>64</v>
      </c>
      <c r="D544" s="15" t="s">
        <v>65</v>
      </c>
      <c r="E544" s="15" t="s">
        <v>90</v>
      </c>
      <c r="F544" s="15" t="s">
        <v>87</v>
      </c>
      <c r="G544" s="15" t="s">
        <v>88</v>
      </c>
      <c r="H544" s="15" t="s">
        <v>72</v>
      </c>
      <c r="I544" s="16">
        <v>16358</v>
      </c>
      <c r="J544" s="16">
        <v>13748</v>
      </c>
      <c r="K544" s="16">
        <v>16069</v>
      </c>
      <c r="L544" s="17">
        <v>431.8</v>
      </c>
      <c r="M544" s="17">
        <v>45.5</v>
      </c>
      <c r="N544" s="17">
        <f t="shared" si="24"/>
        <v>386.3</v>
      </c>
      <c r="O544" s="17">
        <v>311.60000000000002</v>
      </c>
      <c r="P544" s="17">
        <v>380.3</v>
      </c>
      <c r="Q544" s="17">
        <v>231</v>
      </c>
      <c r="R544" s="17">
        <f t="shared" si="25"/>
        <v>155.30000000000001</v>
      </c>
      <c r="S544" s="17">
        <v>190.1</v>
      </c>
      <c r="T544" s="17">
        <f t="shared" si="26"/>
        <v>121.50000000000003</v>
      </c>
    </row>
    <row r="545" spans="1:20" x14ac:dyDescent="0.35">
      <c r="A545" s="14" t="s">
        <v>101</v>
      </c>
      <c r="B545" s="15" t="s">
        <v>102</v>
      </c>
      <c r="C545" s="15" t="s">
        <v>64</v>
      </c>
      <c r="D545" s="15" t="s">
        <v>65</v>
      </c>
      <c r="E545" s="15" t="s">
        <v>91</v>
      </c>
      <c r="F545" s="15" t="s">
        <v>67</v>
      </c>
      <c r="G545" s="15" t="s">
        <v>68</v>
      </c>
      <c r="H545" s="15" t="s">
        <v>69</v>
      </c>
      <c r="I545" s="16">
        <v>370221</v>
      </c>
      <c r="J545" s="16">
        <v>345206</v>
      </c>
      <c r="K545" s="16">
        <v>365975</v>
      </c>
      <c r="L545" s="17">
        <v>2313.6999999999998</v>
      </c>
      <c r="M545" s="17">
        <v>94.4</v>
      </c>
      <c r="N545" s="17">
        <f t="shared" si="24"/>
        <v>2219.2999999999997</v>
      </c>
      <c r="O545" s="17">
        <v>1966.7</v>
      </c>
      <c r="P545" s="17">
        <v>2152.6</v>
      </c>
      <c r="Q545" s="17">
        <v>1251.9000000000001</v>
      </c>
      <c r="R545" s="17">
        <f t="shared" si="25"/>
        <v>967.39999999999964</v>
      </c>
      <c r="S545" s="17">
        <v>1126.3</v>
      </c>
      <c r="T545" s="17">
        <f t="shared" si="26"/>
        <v>840.40000000000009</v>
      </c>
    </row>
    <row r="546" spans="1:20" x14ac:dyDescent="0.35">
      <c r="A546" s="14" t="s">
        <v>101</v>
      </c>
      <c r="B546" s="15" t="s">
        <v>102</v>
      </c>
      <c r="C546" s="15" t="s">
        <v>64</v>
      </c>
      <c r="D546" s="15" t="s">
        <v>65</v>
      </c>
      <c r="E546" s="15" t="s">
        <v>91</v>
      </c>
      <c r="F546" s="15" t="s">
        <v>67</v>
      </c>
      <c r="G546" s="15" t="s">
        <v>68</v>
      </c>
      <c r="H546" s="15" t="s">
        <v>70</v>
      </c>
      <c r="I546" s="16">
        <v>161256</v>
      </c>
      <c r="J546" s="16">
        <v>147872</v>
      </c>
      <c r="K546" s="16">
        <v>159945</v>
      </c>
      <c r="L546" s="17">
        <v>1164.7</v>
      </c>
      <c r="M546" s="17">
        <v>47.5</v>
      </c>
      <c r="N546" s="17">
        <f t="shared" si="24"/>
        <v>1117.2</v>
      </c>
      <c r="O546" s="17">
        <v>979.8</v>
      </c>
      <c r="P546" s="17">
        <v>1096</v>
      </c>
      <c r="Q546" s="17">
        <v>633.5</v>
      </c>
      <c r="R546" s="17">
        <f t="shared" si="25"/>
        <v>483.70000000000005</v>
      </c>
      <c r="S546" s="17">
        <v>565.6</v>
      </c>
      <c r="T546" s="17">
        <f t="shared" si="26"/>
        <v>414.19999999999993</v>
      </c>
    </row>
    <row r="547" spans="1:20" x14ac:dyDescent="0.35">
      <c r="A547" s="14" t="s">
        <v>101</v>
      </c>
      <c r="B547" s="15" t="s">
        <v>102</v>
      </c>
      <c r="C547" s="15" t="s">
        <v>64</v>
      </c>
      <c r="D547" s="15" t="s">
        <v>65</v>
      </c>
      <c r="E547" s="15" t="s">
        <v>91</v>
      </c>
      <c r="F547" s="15" t="s">
        <v>67</v>
      </c>
      <c r="G547" s="15" t="s">
        <v>68</v>
      </c>
      <c r="H547" s="15" t="s">
        <v>71</v>
      </c>
      <c r="I547" s="16">
        <v>299557</v>
      </c>
      <c r="J547" s="16">
        <v>278037</v>
      </c>
      <c r="K547" s="16">
        <v>297039</v>
      </c>
      <c r="L547" s="17">
        <v>2771</v>
      </c>
      <c r="M547" s="17">
        <v>122.2</v>
      </c>
      <c r="N547" s="17">
        <f t="shared" si="24"/>
        <v>2648.8</v>
      </c>
      <c r="O547" s="17">
        <v>2328.5</v>
      </c>
      <c r="P547" s="17">
        <v>2593.9</v>
      </c>
      <c r="Q547" s="17">
        <v>1636.2</v>
      </c>
      <c r="R547" s="17">
        <f t="shared" si="25"/>
        <v>1012.6000000000001</v>
      </c>
      <c r="S547" s="17">
        <v>1452.4</v>
      </c>
      <c r="T547" s="17">
        <f t="shared" si="26"/>
        <v>876.09999999999991</v>
      </c>
    </row>
    <row r="548" spans="1:20" x14ac:dyDescent="0.35">
      <c r="A548" s="14" t="s">
        <v>101</v>
      </c>
      <c r="B548" s="15" t="s">
        <v>102</v>
      </c>
      <c r="C548" s="15" t="s">
        <v>64</v>
      </c>
      <c r="D548" s="15" t="s">
        <v>65</v>
      </c>
      <c r="E548" s="15" t="s">
        <v>91</v>
      </c>
      <c r="F548" s="15" t="s">
        <v>67</v>
      </c>
      <c r="G548" s="15" t="s">
        <v>68</v>
      </c>
      <c r="H548" s="15" t="s">
        <v>72</v>
      </c>
      <c r="I548" s="16">
        <v>157959</v>
      </c>
      <c r="J548" s="16">
        <v>143948</v>
      </c>
      <c r="K548" s="16">
        <v>156020</v>
      </c>
      <c r="L548" s="17">
        <v>2022.2</v>
      </c>
      <c r="M548" s="17">
        <v>91.7</v>
      </c>
      <c r="N548" s="17">
        <f t="shared" si="24"/>
        <v>1930.5</v>
      </c>
      <c r="O548" s="17">
        <v>1670.9</v>
      </c>
      <c r="P548" s="17">
        <v>1892.8</v>
      </c>
      <c r="Q548" s="17">
        <v>1261.8</v>
      </c>
      <c r="R548" s="17">
        <f t="shared" si="25"/>
        <v>668.7</v>
      </c>
      <c r="S548" s="17">
        <v>1107.0999999999999</v>
      </c>
      <c r="T548" s="17">
        <f t="shared" si="26"/>
        <v>563.80000000000018</v>
      </c>
    </row>
    <row r="549" spans="1:20" x14ac:dyDescent="0.35">
      <c r="A549" s="14" t="s">
        <v>101</v>
      </c>
      <c r="B549" s="15" t="s">
        <v>102</v>
      </c>
      <c r="C549" s="15" t="s">
        <v>64</v>
      </c>
      <c r="D549" s="15" t="s">
        <v>65</v>
      </c>
      <c r="E549" s="15" t="s">
        <v>91</v>
      </c>
      <c r="F549" s="15" t="s">
        <v>67</v>
      </c>
      <c r="G549" s="15" t="s">
        <v>73</v>
      </c>
      <c r="H549" s="15" t="s">
        <v>71</v>
      </c>
      <c r="I549" s="16">
        <v>82443</v>
      </c>
      <c r="J549" s="16">
        <v>69337</v>
      </c>
      <c r="K549" s="16">
        <v>81789</v>
      </c>
      <c r="L549" s="17">
        <v>803.5</v>
      </c>
      <c r="M549" s="17">
        <v>47.6</v>
      </c>
      <c r="N549" s="17">
        <f t="shared" si="24"/>
        <v>755.9</v>
      </c>
      <c r="O549" s="17">
        <v>604.29999999999995</v>
      </c>
      <c r="P549" s="17">
        <v>736.7</v>
      </c>
      <c r="Q549" s="17">
        <v>467.4</v>
      </c>
      <c r="R549" s="17">
        <f t="shared" si="25"/>
        <v>288.5</v>
      </c>
      <c r="S549" s="17">
        <v>379.8</v>
      </c>
      <c r="T549" s="17">
        <f t="shared" si="26"/>
        <v>224.49999999999994</v>
      </c>
    </row>
    <row r="550" spans="1:20" x14ac:dyDescent="0.35">
      <c r="A550" s="14" t="s">
        <v>101</v>
      </c>
      <c r="B550" s="15" t="s">
        <v>102</v>
      </c>
      <c r="C550" s="15" t="s">
        <v>64</v>
      </c>
      <c r="D550" s="15" t="s">
        <v>65</v>
      </c>
      <c r="E550" s="15" t="s">
        <v>91</v>
      </c>
      <c r="F550" s="15" t="s">
        <v>67</v>
      </c>
      <c r="G550" s="15" t="s">
        <v>73</v>
      </c>
      <c r="H550" s="15" t="s">
        <v>72</v>
      </c>
      <c r="I550" s="16">
        <v>45193</v>
      </c>
      <c r="J550" s="16">
        <v>37285</v>
      </c>
      <c r="K550" s="16">
        <v>44521</v>
      </c>
      <c r="L550" s="17">
        <v>579.9</v>
      </c>
      <c r="M550" s="17">
        <v>34.6</v>
      </c>
      <c r="N550" s="17">
        <f t="shared" si="24"/>
        <v>545.29999999999995</v>
      </c>
      <c r="O550" s="17">
        <v>431.2</v>
      </c>
      <c r="P550" s="17">
        <v>531.70000000000005</v>
      </c>
      <c r="Q550" s="17">
        <v>347.8</v>
      </c>
      <c r="R550" s="17">
        <f t="shared" si="25"/>
        <v>197.49999999999994</v>
      </c>
      <c r="S550" s="17">
        <v>277.7</v>
      </c>
      <c r="T550" s="17">
        <f t="shared" si="26"/>
        <v>153.5</v>
      </c>
    </row>
    <row r="551" spans="1:20" x14ac:dyDescent="0.35">
      <c r="A551" s="14" t="s">
        <v>101</v>
      </c>
      <c r="B551" s="15" t="s">
        <v>102</v>
      </c>
      <c r="C551" s="15" t="s">
        <v>64</v>
      </c>
      <c r="D551" s="15" t="s">
        <v>65</v>
      </c>
      <c r="E551" s="15" t="s">
        <v>91</v>
      </c>
      <c r="F551" s="15" t="s">
        <v>67</v>
      </c>
      <c r="G551" s="15" t="s">
        <v>74</v>
      </c>
      <c r="H551" s="15" t="s">
        <v>70</v>
      </c>
      <c r="I551" s="16">
        <v>65133</v>
      </c>
      <c r="J551" s="16">
        <v>58063</v>
      </c>
      <c r="K551" s="16">
        <v>64616</v>
      </c>
      <c r="L551" s="17">
        <v>458.4</v>
      </c>
      <c r="M551" s="17">
        <v>20.6</v>
      </c>
      <c r="N551" s="17">
        <f t="shared" si="24"/>
        <v>437.79999999999995</v>
      </c>
      <c r="O551" s="17">
        <v>373.1</v>
      </c>
      <c r="P551" s="17">
        <v>430.2</v>
      </c>
      <c r="Q551" s="17">
        <v>245.2</v>
      </c>
      <c r="R551" s="17">
        <f t="shared" si="25"/>
        <v>192.59999999999997</v>
      </c>
      <c r="S551" s="17">
        <v>213</v>
      </c>
      <c r="T551" s="17">
        <f t="shared" si="26"/>
        <v>160.10000000000002</v>
      </c>
    </row>
    <row r="552" spans="1:20" x14ac:dyDescent="0.35">
      <c r="A552" s="14" t="s">
        <v>101</v>
      </c>
      <c r="B552" s="15" t="s">
        <v>102</v>
      </c>
      <c r="C552" s="15" t="s">
        <v>64</v>
      </c>
      <c r="D552" s="15" t="s">
        <v>65</v>
      </c>
      <c r="E552" s="15" t="s">
        <v>91</v>
      </c>
      <c r="F552" s="15" t="s">
        <v>67</v>
      </c>
      <c r="G552" s="15" t="s">
        <v>74</v>
      </c>
      <c r="H552" s="15" t="s">
        <v>71</v>
      </c>
      <c r="I552" s="16">
        <v>117471</v>
      </c>
      <c r="J552" s="16">
        <v>109041</v>
      </c>
      <c r="K552" s="16">
        <v>115259</v>
      </c>
      <c r="L552" s="17">
        <v>1079.9000000000001</v>
      </c>
      <c r="M552" s="17">
        <v>51</v>
      </c>
      <c r="N552" s="17">
        <f t="shared" si="24"/>
        <v>1028.9000000000001</v>
      </c>
      <c r="O552" s="17">
        <v>904</v>
      </c>
      <c r="P552" s="17">
        <v>1002.9</v>
      </c>
      <c r="Q552" s="17">
        <v>636.1</v>
      </c>
      <c r="R552" s="17">
        <f t="shared" si="25"/>
        <v>392.80000000000007</v>
      </c>
      <c r="S552" s="17">
        <v>565.1</v>
      </c>
      <c r="T552" s="17">
        <f t="shared" si="26"/>
        <v>338.9</v>
      </c>
    </row>
    <row r="553" spans="1:20" x14ac:dyDescent="0.35">
      <c r="A553" s="14" t="s">
        <v>101</v>
      </c>
      <c r="B553" s="15" t="s">
        <v>102</v>
      </c>
      <c r="C553" s="15" t="s">
        <v>64</v>
      </c>
      <c r="D553" s="15" t="s">
        <v>65</v>
      </c>
      <c r="E553" s="15" t="s">
        <v>91</v>
      </c>
      <c r="F553" s="15" t="s">
        <v>67</v>
      </c>
      <c r="G553" s="15" t="s">
        <v>75</v>
      </c>
      <c r="H553" s="15" t="s">
        <v>71</v>
      </c>
      <c r="I553" s="16">
        <v>97780</v>
      </c>
      <c r="J553" s="16">
        <v>90047</v>
      </c>
      <c r="K553" s="16">
        <v>97004</v>
      </c>
      <c r="L553" s="17">
        <v>924.2</v>
      </c>
      <c r="M553" s="17">
        <v>52.7</v>
      </c>
      <c r="N553" s="17">
        <f t="shared" si="24"/>
        <v>871.5</v>
      </c>
      <c r="O553" s="17">
        <v>767.9</v>
      </c>
      <c r="P553" s="17">
        <v>851.3</v>
      </c>
      <c r="Q553" s="17">
        <v>541.29999999999995</v>
      </c>
      <c r="R553" s="17">
        <f t="shared" si="25"/>
        <v>330.20000000000005</v>
      </c>
      <c r="S553" s="17">
        <v>481.5</v>
      </c>
      <c r="T553" s="17">
        <f t="shared" si="26"/>
        <v>286.39999999999998</v>
      </c>
    </row>
    <row r="554" spans="1:20" x14ac:dyDescent="0.35">
      <c r="A554" s="14" t="s">
        <v>101</v>
      </c>
      <c r="B554" s="15" t="s">
        <v>102</v>
      </c>
      <c r="C554" s="15" t="s">
        <v>64</v>
      </c>
      <c r="D554" s="15" t="s">
        <v>65</v>
      </c>
      <c r="E554" s="15" t="s">
        <v>91</v>
      </c>
      <c r="F554" s="15" t="s">
        <v>67</v>
      </c>
      <c r="G554" s="15" t="s">
        <v>76</v>
      </c>
      <c r="H554" s="15" t="s">
        <v>72</v>
      </c>
      <c r="I554" s="16">
        <v>121156</v>
      </c>
      <c r="J554" s="16">
        <v>107461</v>
      </c>
      <c r="K554" s="16">
        <v>120025</v>
      </c>
      <c r="L554" s="17">
        <v>1913.8</v>
      </c>
      <c r="M554" s="17">
        <v>111.7</v>
      </c>
      <c r="N554" s="17">
        <f t="shared" si="24"/>
        <v>1802.1</v>
      </c>
      <c r="O554" s="17">
        <v>1528.3</v>
      </c>
      <c r="P554" s="17">
        <v>1757.8</v>
      </c>
      <c r="Q554" s="17">
        <v>1127.8</v>
      </c>
      <c r="R554" s="17">
        <f t="shared" si="25"/>
        <v>674.3</v>
      </c>
      <c r="S554" s="17">
        <v>971.1</v>
      </c>
      <c r="T554" s="17">
        <f t="shared" si="26"/>
        <v>557.19999999999993</v>
      </c>
    </row>
    <row r="555" spans="1:20" x14ac:dyDescent="0.35">
      <c r="A555" s="14" t="s">
        <v>101</v>
      </c>
      <c r="B555" s="15" t="s">
        <v>102</v>
      </c>
      <c r="C555" s="15" t="s">
        <v>64</v>
      </c>
      <c r="D555" s="15" t="s">
        <v>65</v>
      </c>
      <c r="E555" s="15" t="s">
        <v>91</v>
      </c>
      <c r="F555" s="15" t="s">
        <v>67</v>
      </c>
      <c r="G555" s="15" t="s">
        <v>77</v>
      </c>
      <c r="H555" s="15" t="s">
        <v>71</v>
      </c>
      <c r="I555" s="16">
        <v>44169</v>
      </c>
      <c r="J555" s="16">
        <v>40486</v>
      </c>
      <c r="K555" s="16">
        <v>43818</v>
      </c>
      <c r="L555" s="17">
        <v>404.3</v>
      </c>
      <c r="M555" s="17">
        <v>22.1</v>
      </c>
      <c r="N555" s="17">
        <f t="shared" si="24"/>
        <v>382.2</v>
      </c>
      <c r="O555" s="17">
        <v>336.4</v>
      </c>
      <c r="P555" s="17">
        <v>374.7</v>
      </c>
      <c r="Q555" s="17">
        <v>234.7</v>
      </c>
      <c r="R555" s="17">
        <f t="shared" si="25"/>
        <v>147.5</v>
      </c>
      <c r="S555" s="17">
        <v>209.1</v>
      </c>
      <c r="T555" s="17">
        <f t="shared" si="26"/>
        <v>127.29999999999998</v>
      </c>
    </row>
    <row r="556" spans="1:20" x14ac:dyDescent="0.35">
      <c r="A556" s="14" t="s">
        <v>101</v>
      </c>
      <c r="B556" s="15" t="s">
        <v>102</v>
      </c>
      <c r="C556" s="15" t="s">
        <v>64</v>
      </c>
      <c r="D556" s="15" t="s">
        <v>65</v>
      </c>
      <c r="E556" s="15" t="s">
        <v>91</v>
      </c>
      <c r="F556" s="15" t="s">
        <v>67</v>
      </c>
      <c r="G556" s="15" t="s">
        <v>78</v>
      </c>
      <c r="H556" s="15" t="s">
        <v>71</v>
      </c>
      <c r="I556" s="16">
        <v>57945</v>
      </c>
      <c r="J556" s="16">
        <v>53100</v>
      </c>
      <c r="K556" s="16">
        <v>57005</v>
      </c>
      <c r="L556" s="17">
        <v>502.2</v>
      </c>
      <c r="M556" s="17">
        <v>20.6</v>
      </c>
      <c r="N556" s="17">
        <f t="shared" si="24"/>
        <v>481.59999999999997</v>
      </c>
      <c r="O556" s="17">
        <v>419.4</v>
      </c>
      <c r="P556" s="17">
        <v>467.7</v>
      </c>
      <c r="Q556" s="17">
        <v>302.10000000000002</v>
      </c>
      <c r="R556" s="17">
        <f t="shared" si="25"/>
        <v>179.49999999999994</v>
      </c>
      <c r="S556" s="17">
        <v>267.10000000000002</v>
      </c>
      <c r="T556" s="17">
        <f t="shared" si="26"/>
        <v>152.29999999999995</v>
      </c>
    </row>
    <row r="557" spans="1:20" x14ac:dyDescent="0.35">
      <c r="A557" s="14" t="s">
        <v>101</v>
      </c>
      <c r="B557" s="15" t="s">
        <v>102</v>
      </c>
      <c r="C557" s="15" t="s">
        <v>64</v>
      </c>
      <c r="D557" s="15" t="s">
        <v>65</v>
      </c>
      <c r="E557" s="15" t="s">
        <v>91</v>
      </c>
      <c r="F557" s="15" t="s">
        <v>79</v>
      </c>
      <c r="G557" s="15" t="s">
        <v>80</v>
      </c>
      <c r="H557" s="15" t="s">
        <v>71</v>
      </c>
      <c r="I557" s="16">
        <v>87406</v>
      </c>
      <c r="J557" s="16">
        <v>79450</v>
      </c>
      <c r="K557" s="16">
        <v>85826</v>
      </c>
      <c r="L557" s="17">
        <v>499.9</v>
      </c>
      <c r="M557" s="17">
        <v>23.8</v>
      </c>
      <c r="N557" s="17">
        <f t="shared" si="24"/>
        <v>476.09999999999997</v>
      </c>
      <c r="O557" s="17">
        <v>409.9</v>
      </c>
      <c r="P557" s="17">
        <v>467.3</v>
      </c>
      <c r="Q557" s="17">
        <v>282.10000000000002</v>
      </c>
      <c r="R557" s="17">
        <f t="shared" si="25"/>
        <v>193.99999999999994</v>
      </c>
      <c r="S557" s="17">
        <v>245.2</v>
      </c>
      <c r="T557" s="17">
        <f t="shared" si="26"/>
        <v>164.7</v>
      </c>
    </row>
    <row r="558" spans="1:20" x14ac:dyDescent="0.35">
      <c r="A558" s="14" t="s">
        <v>101</v>
      </c>
      <c r="B558" s="15" t="s">
        <v>102</v>
      </c>
      <c r="C558" s="15" t="s">
        <v>64</v>
      </c>
      <c r="D558" s="15" t="s">
        <v>65</v>
      </c>
      <c r="E558" s="15" t="s">
        <v>91</v>
      </c>
      <c r="F558" s="15" t="s">
        <v>81</v>
      </c>
      <c r="G558" s="15" t="s">
        <v>82</v>
      </c>
      <c r="H558" s="15" t="s">
        <v>71</v>
      </c>
      <c r="I558" s="16">
        <v>28781</v>
      </c>
      <c r="J558" s="16">
        <v>25428</v>
      </c>
      <c r="K558" s="16">
        <v>28264</v>
      </c>
      <c r="L558" s="17">
        <v>346.1</v>
      </c>
      <c r="M558" s="17">
        <v>14.3</v>
      </c>
      <c r="N558" s="17">
        <f t="shared" si="24"/>
        <v>331.8</v>
      </c>
      <c r="O558" s="17">
        <v>280.5</v>
      </c>
      <c r="P558" s="17">
        <v>326.10000000000002</v>
      </c>
      <c r="Q558" s="17">
        <v>202.3</v>
      </c>
      <c r="R558" s="17">
        <f t="shared" si="25"/>
        <v>129.5</v>
      </c>
      <c r="S558" s="17">
        <v>174.9</v>
      </c>
      <c r="T558" s="17">
        <f t="shared" si="26"/>
        <v>105.6</v>
      </c>
    </row>
    <row r="559" spans="1:20" x14ac:dyDescent="0.35">
      <c r="A559" s="14" t="s">
        <v>101</v>
      </c>
      <c r="B559" s="15" t="s">
        <v>102</v>
      </c>
      <c r="C559" s="15" t="s">
        <v>64</v>
      </c>
      <c r="D559" s="15" t="s">
        <v>65</v>
      </c>
      <c r="E559" s="15" t="s">
        <v>91</v>
      </c>
      <c r="F559" s="15" t="s">
        <v>83</v>
      </c>
      <c r="G559" s="15" t="s">
        <v>84</v>
      </c>
      <c r="H559" s="15" t="s">
        <v>72</v>
      </c>
      <c r="I559" s="16">
        <v>28124</v>
      </c>
      <c r="J559" s="16">
        <v>22563</v>
      </c>
      <c r="K559" s="16">
        <v>27833</v>
      </c>
      <c r="L559" s="17">
        <v>1083.2</v>
      </c>
      <c r="M559" s="17">
        <v>46.4</v>
      </c>
      <c r="N559" s="17">
        <f t="shared" si="24"/>
        <v>1036.8</v>
      </c>
      <c r="O559" s="17">
        <v>794.4</v>
      </c>
      <c r="P559" s="17">
        <v>1007.7</v>
      </c>
      <c r="Q559" s="17">
        <v>601.1</v>
      </c>
      <c r="R559" s="17">
        <f t="shared" si="25"/>
        <v>435.69999999999993</v>
      </c>
      <c r="S559" s="17">
        <v>464.2</v>
      </c>
      <c r="T559" s="17">
        <f t="shared" si="26"/>
        <v>330.2</v>
      </c>
    </row>
    <row r="560" spans="1:20" x14ac:dyDescent="0.35">
      <c r="A560" s="14" t="s">
        <v>101</v>
      </c>
      <c r="B560" s="15" t="s">
        <v>102</v>
      </c>
      <c r="C560" s="15" t="s">
        <v>64</v>
      </c>
      <c r="D560" s="15" t="s">
        <v>65</v>
      </c>
      <c r="E560" s="15" t="s">
        <v>91</v>
      </c>
      <c r="F560" s="15" t="s">
        <v>85</v>
      </c>
      <c r="G560" s="15" t="s">
        <v>86</v>
      </c>
      <c r="H560" s="15" t="s">
        <v>72</v>
      </c>
      <c r="I560" s="16">
        <v>23827</v>
      </c>
      <c r="J560" s="16">
        <v>21563</v>
      </c>
      <c r="K560" s="16">
        <v>23471</v>
      </c>
      <c r="L560" s="17">
        <v>555.5</v>
      </c>
      <c r="M560" s="17">
        <v>26.2</v>
      </c>
      <c r="N560" s="17">
        <f t="shared" si="24"/>
        <v>529.29999999999995</v>
      </c>
      <c r="O560" s="17">
        <v>459.4</v>
      </c>
      <c r="P560" s="17">
        <v>521.5</v>
      </c>
      <c r="Q560" s="17">
        <v>346.6</v>
      </c>
      <c r="R560" s="17">
        <f t="shared" si="25"/>
        <v>182.69999999999993</v>
      </c>
      <c r="S560" s="17">
        <v>306.89999999999998</v>
      </c>
      <c r="T560" s="17">
        <f t="shared" si="26"/>
        <v>152.5</v>
      </c>
    </row>
    <row r="561" spans="1:20" x14ac:dyDescent="0.35">
      <c r="A561" s="14" t="s">
        <v>101</v>
      </c>
      <c r="B561" s="15" t="s">
        <v>102</v>
      </c>
      <c r="C561" s="15" t="s">
        <v>64</v>
      </c>
      <c r="D561" s="15" t="s">
        <v>65</v>
      </c>
      <c r="E561" s="15" t="s">
        <v>91</v>
      </c>
      <c r="F561" s="15" t="s">
        <v>87</v>
      </c>
      <c r="G561" s="15" t="s">
        <v>88</v>
      </c>
      <c r="H561" s="15" t="s">
        <v>72</v>
      </c>
      <c r="I561" s="16">
        <v>10152</v>
      </c>
      <c r="J561" s="16">
        <v>8394</v>
      </c>
      <c r="K561" s="16">
        <v>9955</v>
      </c>
      <c r="L561" s="17">
        <v>318.8</v>
      </c>
      <c r="M561" s="17">
        <v>13.1</v>
      </c>
      <c r="N561" s="17">
        <f t="shared" si="24"/>
        <v>305.7</v>
      </c>
      <c r="O561" s="17">
        <v>241.2</v>
      </c>
      <c r="P561" s="17">
        <v>298.10000000000002</v>
      </c>
      <c r="Q561" s="17">
        <v>184.7</v>
      </c>
      <c r="R561" s="17">
        <f t="shared" si="25"/>
        <v>121</v>
      </c>
      <c r="S561" s="17">
        <v>149.19999999999999</v>
      </c>
      <c r="T561" s="17">
        <f t="shared" si="26"/>
        <v>92</v>
      </c>
    </row>
    <row r="562" spans="1:20" x14ac:dyDescent="0.35">
      <c r="A562" s="14" t="s">
        <v>101</v>
      </c>
      <c r="B562" s="15" t="s">
        <v>102</v>
      </c>
      <c r="C562" s="15" t="s">
        <v>64</v>
      </c>
      <c r="D562" s="15" t="s">
        <v>65</v>
      </c>
      <c r="E562" s="15" t="s">
        <v>92</v>
      </c>
      <c r="F562" s="15" t="s">
        <v>67</v>
      </c>
      <c r="G562" s="15" t="s">
        <v>68</v>
      </c>
      <c r="H562" s="15" t="s">
        <v>69</v>
      </c>
      <c r="I562" s="16">
        <v>406233</v>
      </c>
      <c r="J562" s="16">
        <v>321772</v>
      </c>
      <c r="K562" s="16">
        <v>403009</v>
      </c>
      <c r="L562" s="17">
        <v>2349.3000000000002</v>
      </c>
      <c r="M562" s="17">
        <v>174.5</v>
      </c>
      <c r="N562" s="17">
        <f t="shared" si="24"/>
        <v>2174.8000000000002</v>
      </c>
      <c r="O562" s="17">
        <v>1648.7</v>
      </c>
      <c r="P562" s="17">
        <v>2142.6999999999998</v>
      </c>
      <c r="Q562" s="17">
        <v>1189</v>
      </c>
      <c r="R562" s="17">
        <f t="shared" si="25"/>
        <v>985.80000000000018</v>
      </c>
      <c r="S562" s="17">
        <v>909.6</v>
      </c>
      <c r="T562" s="17">
        <f t="shared" si="26"/>
        <v>739.1</v>
      </c>
    </row>
    <row r="563" spans="1:20" x14ac:dyDescent="0.35">
      <c r="A563" s="14" t="s">
        <v>101</v>
      </c>
      <c r="B563" s="15" t="s">
        <v>102</v>
      </c>
      <c r="C563" s="15" t="s">
        <v>64</v>
      </c>
      <c r="D563" s="15" t="s">
        <v>65</v>
      </c>
      <c r="E563" s="15" t="s">
        <v>92</v>
      </c>
      <c r="F563" s="15" t="s">
        <v>67</v>
      </c>
      <c r="G563" s="15" t="s">
        <v>68</v>
      </c>
      <c r="H563" s="15" t="s">
        <v>70</v>
      </c>
      <c r="I563" s="16">
        <v>524970</v>
      </c>
      <c r="J563" s="16">
        <v>406563</v>
      </c>
      <c r="K563" s="16">
        <v>520804</v>
      </c>
      <c r="L563" s="17">
        <v>3685.7</v>
      </c>
      <c r="M563" s="17">
        <v>273.3</v>
      </c>
      <c r="N563" s="17">
        <f t="shared" si="24"/>
        <v>3412.3999999999996</v>
      </c>
      <c r="O563" s="17">
        <v>2535.8000000000002</v>
      </c>
      <c r="P563" s="17">
        <v>3318.3</v>
      </c>
      <c r="Q563" s="17">
        <v>1906.9</v>
      </c>
      <c r="R563" s="17">
        <f t="shared" si="25"/>
        <v>1505.4999999999995</v>
      </c>
      <c r="S563" s="17">
        <v>1450.6</v>
      </c>
      <c r="T563" s="17">
        <f t="shared" si="26"/>
        <v>1085.2000000000003</v>
      </c>
    </row>
    <row r="564" spans="1:20" x14ac:dyDescent="0.35">
      <c r="A564" s="14" t="s">
        <v>101</v>
      </c>
      <c r="B564" s="15" t="s">
        <v>102</v>
      </c>
      <c r="C564" s="15" t="s">
        <v>64</v>
      </c>
      <c r="D564" s="15" t="s">
        <v>65</v>
      </c>
      <c r="E564" s="15" t="s">
        <v>92</v>
      </c>
      <c r="F564" s="15" t="s">
        <v>67</v>
      </c>
      <c r="G564" s="15" t="s">
        <v>68</v>
      </c>
      <c r="H564" s="15" t="s">
        <v>71</v>
      </c>
      <c r="I564" s="16">
        <v>625137</v>
      </c>
      <c r="J564" s="16">
        <v>489898</v>
      </c>
      <c r="K564" s="16">
        <v>616457</v>
      </c>
      <c r="L564" s="17">
        <v>5497.5</v>
      </c>
      <c r="M564" s="17">
        <v>397.4</v>
      </c>
      <c r="N564" s="17">
        <f t="shared" si="24"/>
        <v>5100.1000000000004</v>
      </c>
      <c r="O564" s="17">
        <v>3803.5</v>
      </c>
      <c r="P564" s="17">
        <v>4999</v>
      </c>
      <c r="Q564" s="17">
        <v>3179.6</v>
      </c>
      <c r="R564" s="17">
        <f t="shared" si="25"/>
        <v>1920.5000000000005</v>
      </c>
      <c r="S564" s="17">
        <v>2415.6</v>
      </c>
      <c r="T564" s="17">
        <f t="shared" si="26"/>
        <v>1387.9</v>
      </c>
    </row>
    <row r="565" spans="1:20" x14ac:dyDescent="0.35">
      <c r="A565" s="14" t="s">
        <v>101</v>
      </c>
      <c r="B565" s="15" t="s">
        <v>102</v>
      </c>
      <c r="C565" s="15" t="s">
        <v>64</v>
      </c>
      <c r="D565" s="15" t="s">
        <v>65</v>
      </c>
      <c r="E565" s="15" t="s">
        <v>92</v>
      </c>
      <c r="F565" s="15" t="s">
        <v>67</v>
      </c>
      <c r="G565" s="15" t="s">
        <v>68</v>
      </c>
      <c r="H565" s="15" t="s">
        <v>72</v>
      </c>
      <c r="I565" s="16">
        <v>135885</v>
      </c>
      <c r="J565" s="16">
        <v>104707</v>
      </c>
      <c r="K565" s="16">
        <v>134271</v>
      </c>
      <c r="L565" s="17">
        <v>1594.1</v>
      </c>
      <c r="M565" s="17">
        <v>120.3</v>
      </c>
      <c r="N565" s="17">
        <f t="shared" si="24"/>
        <v>1473.8</v>
      </c>
      <c r="O565" s="17">
        <v>1076.0999999999999</v>
      </c>
      <c r="P565" s="17">
        <v>1430.7</v>
      </c>
      <c r="Q565" s="17">
        <v>963.9</v>
      </c>
      <c r="R565" s="17">
        <f t="shared" si="25"/>
        <v>509.9</v>
      </c>
      <c r="S565" s="17">
        <v>717.9</v>
      </c>
      <c r="T565" s="17">
        <f t="shared" si="26"/>
        <v>358.19999999999993</v>
      </c>
    </row>
    <row r="566" spans="1:20" x14ac:dyDescent="0.35">
      <c r="A566" s="14" t="s">
        <v>101</v>
      </c>
      <c r="B566" s="15" t="s">
        <v>102</v>
      </c>
      <c r="C566" s="15" t="s">
        <v>64</v>
      </c>
      <c r="D566" s="15" t="s">
        <v>65</v>
      </c>
      <c r="E566" s="15" t="s">
        <v>92</v>
      </c>
      <c r="F566" s="15" t="s">
        <v>67</v>
      </c>
      <c r="G566" s="15" t="s">
        <v>73</v>
      </c>
      <c r="H566" s="15" t="s">
        <v>71</v>
      </c>
      <c r="I566" s="16">
        <v>132657</v>
      </c>
      <c r="J566" s="16">
        <v>97932</v>
      </c>
      <c r="K566" s="16">
        <v>130740</v>
      </c>
      <c r="L566" s="17">
        <v>1138.8</v>
      </c>
      <c r="M566" s="17">
        <v>98.7</v>
      </c>
      <c r="N566" s="17">
        <f t="shared" si="24"/>
        <v>1040.0999999999999</v>
      </c>
      <c r="O566" s="17">
        <v>725.9</v>
      </c>
      <c r="P566" s="17">
        <v>1019</v>
      </c>
      <c r="Q566" s="17">
        <v>632.79999999999995</v>
      </c>
      <c r="R566" s="17">
        <f t="shared" si="25"/>
        <v>407.29999999999995</v>
      </c>
      <c r="S566" s="17">
        <v>452.2</v>
      </c>
      <c r="T566" s="17">
        <f t="shared" si="26"/>
        <v>273.7</v>
      </c>
    </row>
    <row r="567" spans="1:20" x14ac:dyDescent="0.35">
      <c r="A567" s="14" t="s">
        <v>101</v>
      </c>
      <c r="B567" s="15" t="s">
        <v>102</v>
      </c>
      <c r="C567" s="15" t="s">
        <v>64</v>
      </c>
      <c r="D567" s="15" t="s">
        <v>65</v>
      </c>
      <c r="E567" s="15" t="s">
        <v>92</v>
      </c>
      <c r="F567" s="15" t="s">
        <v>67</v>
      </c>
      <c r="G567" s="15" t="s">
        <v>73</v>
      </c>
      <c r="H567" s="15" t="s">
        <v>72</v>
      </c>
      <c r="I567" s="16">
        <v>44373</v>
      </c>
      <c r="J567" s="16">
        <v>31970</v>
      </c>
      <c r="K567" s="16">
        <v>43717</v>
      </c>
      <c r="L567" s="17">
        <v>512.1</v>
      </c>
      <c r="M567" s="17">
        <v>36.799999999999997</v>
      </c>
      <c r="N567" s="17">
        <f t="shared" si="24"/>
        <v>475.3</v>
      </c>
      <c r="O567" s="17">
        <v>324.8</v>
      </c>
      <c r="P567" s="17">
        <v>468.3</v>
      </c>
      <c r="Q567" s="17">
        <v>297.10000000000002</v>
      </c>
      <c r="R567" s="17">
        <f t="shared" si="25"/>
        <v>178.2</v>
      </c>
      <c r="S567" s="17">
        <v>204.5</v>
      </c>
      <c r="T567" s="17">
        <f t="shared" si="26"/>
        <v>120.30000000000001</v>
      </c>
    </row>
    <row r="568" spans="1:20" x14ac:dyDescent="0.35">
      <c r="A568" s="14" t="s">
        <v>101</v>
      </c>
      <c r="B568" s="15" t="s">
        <v>102</v>
      </c>
      <c r="C568" s="15" t="s">
        <v>64</v>
      </c>
      <c r="D568" s="15" t="s">
        <v>65</v>
      </c>
      <c r="E568" s="15" t="s">
        <v>92</v>
      </c>
      <c r="F568" s="15" t="s">
        <v>67</v>
      </c>
      <c r="G568" s="15" t="s">
        <v>74</v>
      </c>
      <c r="H568" s="15" t="s">
        <v>70</v>
      </c>
      <c r="I568" s="16">
        <v>216741</v>
      </c>
      <c r="J568" s="16">
        <v>166529</v>
      </c>
      <c r="K568" s="16">
        <v>212881</v>
      </c>
      <c r="L568" s="17">
        <v>1480.8</v>
      </c>
      <c r="M568" s="17">
        <v>131.6</v>
      </c>
      <c r="N568" s="17">
        <f t="shared" si="24"/>
        <v>1349.2</v>
      </c>
      <c r="O568" s="17">
        <v>990.4</v>
      </c>
      <c r="P568" s="17">
        <v>1315.7</v>
      </c>
      <c r="Q568" s="17">
        <v>785.6</v>
      </c>
      <c r="R568" s="17">
        <f t="shared" si="25"/>
        <v>563.6</v>
      </c>
      <c r="S568" s="17">
        <v>587</v>
      </c>
      <c r="T568" s="17">
        <f t="shared" si="26"/>
        <v>403.4</v>
      </c>
    </row>
    <row r="569" spans="1:20" x14ac:dyDescent="0.35">
      <c r="A569" s="14" t="s">
        <v>101</v>
      </c>
      <c r="B569" s="15" t="s">
        <v>102</v>
      </c>
      <c r="C569" s="15" t="s">
        <v>64</v>
      </c>
      <c r="D569" s="15" t="s">
        <v>65</v>
      </c>
      <c r="E569" s="15" t="s">
        <v>92</v>
      </c>
      <c r="F569" s="15" t="s">
        <v>67</v>
      </c>
      <c r="G569" s="15" t="s">
        <v>74</v>
      </c>
      <c r="H569" s="15" t="s">
        <v>71</v>
      </c>
      <c r="I569" s="16">
        <v>220997</v>
      </c>
      <c r="J569" s="16">
        <v>174042</v>
      </c>
      <c r="K569" s="16">
        <v>217359</v>
      </c>
      <c r="L569" s="17">
        <v>1887.2</v>
      </c>
      <c r="M569" s="17">
        <v>153.69999999999999</v>
      </c>
      <c r="N569" s="17">
        <f t="shared" si="24"/>
        <v>1733.5</v>
      </c>
      <c r="O569" s="17">
        <v>1293.9000000000001</v>
      </c>
      <c r="P569" s="17">
        <v>1687.1</v>
      </c>
      <c r="Q569" s="17">
        <v>1059.9000000000001</v>
      </c>
      <c r="R569" s="17">
        <f t="shared" si="25"/>
        <v>673.59999999999991</v>
      </c>
      <c r="S569" s="17">
        <v>803.1</v>
      </c>
      <c r="T569" s="17">
        <f t="shared" si="26"/>
        <v>490.80000000000007</v>
      </c>
    </row>
    <row r="570" spans="1:20" x14ac:dyDescent="0.35">
      <c r="A570" s="14" t="s">
        <v>101</v>
      </c>
      <c r="B570" s="15" t="s">
        <v>102</v>
      </c>
      <c r="C570" s="15" t="s">
        <v>64</v>
      </c>
      <c r="D570" s="15" t="s">
        <v>65</v>
      </c>
      <c r="E570" s="15" t="s">
        <v>92</v>
      </c>
      <c r="F570" s="15" t="s">
        <v>67</v>
      </c>
      <c r="G570" s="15" t="s">
        <v>75</v>
      </c>
      <c r="H570" s="15" t="s">
        <v>71</v>
      </c>
      <c r="I570" s="16">
        <v>173970</v>
      </c>
      <c r="J570" s="16">
        <v>136777</v>
      </c>
      <c r="K570" s="16">
        <v>172329</v>
      </c>
      <c r="L570" s="17">
        <v>1503.3</v>
      </c>
      <c r="M570" s="17">
        <v>117.2</v>
      </c>
      <c r="N570" s="17">
        <f t="shared" si="24"/>
        <v>1386.1</v>
      </c>
      <c r="O570" s="17">
        <v>1033.2</v>
      </c>
      <c r="P570" s="17">
        <v>1355.8</v>
      </c>
      <c r="Q570" s="17">
        <v>854.5</v>
      </c>
      <c r="R570" s="17">
        <f t="shared" si="25"/>
        <v>531.59999999999991</v>
      </c>
      <c r="S570" s="17">
        <v>644.4</v>
      </c>
      <c r="T570" s="17">
        <f t="shared" si="26"/>
        <v>388.80000000000007</v>
      </c>
    </row>
    <row r="571" spans="1:20" x14ac:dyDescent="0.35">
      <c r="A571" s="14" t="s">
        <v>101</v>
      </c>
      <c r="B571" s="15" t="s">
        <v>102</v>
      </c>
      <c r="C571" s="15" t="s">
        <v>64</v>
      </c>
      <c r="D571" s="15" t="s">
        <v>65</v>
      </c>
      <c r="E571" s="15" t="s">
        <v>92</v>
      </c>
      <c r="F571" s="15" t="s">
        <v>67</v>
      </c>
      <c r="G571" s="15" t="s">
        <v>76</v>
      </c>
      <c r="H571" s="15" t="s">
        <v>72</v>
      </c>
      <c r="I571" s="16">
        <v>35470</v>
      </c>
      <c r="J571" s="16">
        <v>27072</v>
      </c>
      <c r="K571" s="16">
        <v>34998</v>
      </c>
      <c r="L571" s="17">
        <v>492.7</v>
      </c>
      <c r="M571" s="17">
        <v>40.200000000000003</v>
      </c>
      <c r="N571" s="17">
        <f t="shared" si="24"/>
        <v>452.5</v>
      </c>
      <c r="O571" s="17">
        <v>331.7</v>
      </c>
      <c r="P571" s="17">
        <v>444.8</v>
      </c>
      <c r="Q571" s="17">
        <v>280.10000000000002</v>
      </c>
      <c r="R571" s="17">
        <f t="shared" si="25"/>
        <v>172.39999999999998</v>
      </c>
      <c r="S571" s="17">
        <v>209.9</v>
      </c>
      <c r="T571" s="17">
        <f t="shared" si="26"/>
        <v>121.79999999999998</v>
      </c>
    </row>
    <row r="572" spans="1:20" x14ac:dyDescent="0.35">
      <c r="A572" s="14" t="s">
        <v>101</v>
      </c>
      <c r="B572" s="15" t="s">
        <v>102</v>
      </c>
      <c r="C572" s="15" t="s">
        <v>64</v>
      </c>
      <c r="D572" s="15" t="s">
        <v>65</v>
      </c>
      <c r="E572" s="15" t="s">
        <v>92</v>
      </c>
      <c r="F572" s="15" t="s">
        <v>67</v>
      </c>
      <c r="G572" s="15" t="s">
        <v>77</v>
      </c>
      <c r="H572" s="15" t="s">
        <v>71</v>
      </c>
      <c r="I572" s="16">
        <v>91889</v>
      </c>
      <c r="J572" s="16">
        <v>71615</v>
      </c>
      <c r="K572" s="16">
        <v>90229</v>
      </c>
      <c r="L572" s="17">
        <v>802.3</v>
      </c>
      <c r="M572" s="17">
        <v>66.3</v>
      </c>
      <c r="N572" s="17">
        <f t="shared" si="24"/>
        <v>736</v>
      </c>
      <c r="O572" s="17">
        <v>547.29999999999995</v>
      </c>
      <c r="P572" s="17">
        <v>725.1</v>
      </c>
      <c r="Q572" s="17">
        <v>462.4</v>
      </c>
      <c r="R572" s="17">
        <f t="shared" si="25"/>
        <v>273.60000000000002</v>
      </c>
      <c r="S572" s="17">
        <v>351.4</v>
      </c>
      <c r="T572" s="17">
        <f t="shared" si="26"/>
        <v>195.89999999999998</v>
      </c>
    </row>
    <row r="573" spans="1:20" x14ac:dyDescent="0.35">
      <c r="A573" s="14" t="s">
        <v>101</v>
      </c>
      <c r="B573" s="15" t="s">
        <v>102</v>
      </c>
      <c r="C573" s="15" t="s">
        <v>64</v>
      </c>
      <c r="D573" s="15" t="s">
        <v>65</v>
      </c>
      <c r="E573" s="15" t="s">
        <v>92</v>
      </c>
      <c r="F573" s="15" t="s">
        <v>67</v>
      </c>
      <c r="G573" s="15" t="s">
        <v>78</v>
      </c>
      <c r="H573" s="15" t="s">
        <v>71</v>
      </c>
      <c r="I573" s="16">
        <v>114107</v>
      </c>
      <c r="J573" s="16">
        <v>89947</v>
      </c>
      <c r="K573" s="16">
        <v>112993</v>
      </c>
      <c r="L573" s="17">
        <v>927.9</v>
      </c>
      <c r="M573" s="17">
        <v>74.3</v>
      </c>
      <c r="N573" s="17">
        <f t="shared" si="24"/>
        <v>853.6</v>
      </c>
      <c r="O573" s="17">
        <v>645.9</v>
      </c>
      <c r="P573" s="17">
        <v>828.4</v>
      </c>
      <c r="Q573" s="17">
        <v>522.20000000000005</v>
      </c>
      <c r="R573" s="17">
        <f t="shared" si="25"/>
        <v>331.4</v>
      </c>
      <c r="S573" s="17">
        <v>404.7</v>
      </c>
      <c r="T573" s="17">
        <f t="shared" si="26"/>
        <v>241.2</v>
      </c>
    </row>
    <row r="574" spans="1:20" x14ac:dyDescent="0.35">
      <c r="A574" s="14" t="s">
        <v>101</v>
      </c>
      <c r="B574" s="15" t="s">
        <v>102</v>
      </c>
      <c r="C574" s="15" t="s">
        <v>64</v>
      </c>
      <c r="D574" s="15" t="s">
        <v>65</v>
      </c>
      <c r="E574" s="15" t="s">
        <v>92</v>
      </c>
      <c r="F574" s="15" t="s">
        <v>79</v>
      </c>
      <c r="G574" s="15" t="s">
        <v>80</v>
      </c>
      <c r="H574" s="15" t="s">
        <v>71</v>
      </c>
      <c r="I574" s="16">
        <v>154777</v>
      </c>
      <c r="J574" s="16">
        <v>119331</v>
      </c>
      <c r="K574" s="16">
        <v>153133</v>
      </c>
      <c r="L574" s="17">
        <v>824.9</v>
      </c>
      <c r="M574" s="17">
        <v>63.2</v>
      </c>
      <c r="N574" s="17">
        <f t="shared" si="24"/>
        <v>761.69999999999993</v>
      </c>
      <c r="O574" s="17">
        <v>562.79999999999995</v>
      </c>
      <c r="P574" s="17">
        <v>739.2</v>
      </c>
      <c r="Q574" s="17">
        <v>468.3</v>
      </c>
      <c r="R574" s="17">
        <f t="shared" si="25"/>
        <v>293.39999999999992</v>
      </c>
      <c r="S574" s="17">
        <v>348.7</v>
      </c>
      <c r="T574" s="17">
        <f t="shared" si="26"/>
        <v>214.09999999999997</v>
      </c>
    </row>
    <row r="575" spans="1:20" x14ac:dyDescent="0.35">
      <c r="A575" s="14" t="s">
        <v>101</v>
      </c>
      <c r="B575" s="15" t="s">
        <v>102</v>
      </c>
      <c r="C575" s="15" t="s">
        <v>64</v>
      </c>
      <c r="D575" s="15" t="s">
        <v>65</v>
      </c>
      <c r="E575" s="15" t="s">
        <v>92</v>
      </c>
      <c r="F575" s="15" t="s">
        <v>81</v>
      </c>
      <c r="G575" s="15" t="s">
        <v>82</v>
      </c>
      <c r="H575" s="15" t="s">
        <v>71</v>
      </c>
      <c r="I575" s="16">
        <v>54677</v>
      </c>
      <c r="J575" s="16">
        <v>41611</v>
      </c>
      <c r="K575" s="16">
        <v>54161</v>
      </c>
      <c r="L575" s="17">
        <v>604.9</v>
      </c>
      <c r="M575" s="17">
        <v>45.4</v>
      </c>
      <c r="N575" s="17">
        <f t="shared" si="24"/>
        <v>559.5</v>
      </c>
      <c r="O575" s="17">
        <v>405.8</v>
      </c>
      <c r="P575" s="17">
        <v>546.9</v>
      </c>
      <c r="Q575" s="17">
        <v>342.8</v>
      </c>
      <c r="R575" s="17">
        <f t="shared" si="25"/>
        <v>216.7</v>
      </c>
      <c r="S575" s="17">
        <v>253.7</v>
      </c>
      <c r="T575" s="17">
        <f t="shared" si="26"/>
        <v>152.10000000000002</v>
      </c>
    </row>
    <row r="576" spans="1:20" x14ac:dyDescent="0.35">
      <c r="A576" s="14" t="s">
        <v>101</v>
      </c>
      <c r="B576" s="15" t="s">
        <v>102</v>
      </c>
      <c r="C576" s="15" t="s">
        <v>64</v>
      </c>
      <c r="D576" s="15" t="s">
        <v>65</v>
      </c>
      <c r="E576" s="15" t="s">
        <v>92</v>
      </c>
      <c r="F576" s="15" t="s">
        <v>83</v>
      </c>
      <c r="G576" s="15" t="s">
        <v>84</v>
      </c>
      <c r="H576" s="15" t="s">
        <v>72</v>
      </c>
      <c r="I576" s="16">
        <v>29774</v>
      </c>
      <c r="J576" s="16">
        <v>20592</v>
      </c>
      <c r="K576" s="16">
        <v>29468</v>
      </c>
      <c r="L576" s="17">
        <v>1031.5</v>
      </c>
      <c r="M576" s="17">
        <v>83.3</v>
      </c>
      <c r="N576" s="17">
        <f t="shared" si="24"/>
        <v>948.2</v>
      </c>
      <c r="O576" s="17">
        <v>623.9</v>
      </c>
      <c r="P576" s="17">
        <v>927.7</v>
      </c>
      <c r="Q576" s="17">
        <v>538.79999999999995</v>
      </c>
      <c r="R576" s="17">
        <f t="shared" si="25"/>
        <v>409.40000000000009</v>
      </c>
      <c r="S576" s="17">
        <v>357.6</v>
      </c>
      <c r="T576" s="17">
        <f t="shared" si="26"/>
        <v>266.29999999999995</v>
      </c>
    </row>
    <row r="577" spans="1:20" x14ac:dyDescent="0.35">
      <c r="A577" s="14" t="s">
        <v>101</v>
      </c>
      <c r="B577" s="15" t="s">
        <v>102</v>
      </c>
      <c r="C577" s="15" t="s">
        <v>64</v>
      </c>
      <c r="D577" s="15" t="s">
        <v>65</v>
      </c>
      <c r="E577" s="15" t="s">
        <v>92</v>
      </c>
      <c r="F577" s="15" t="s">
        <v>85</v>
      </c>
      <c r="G577" s="15" t="s">
        <v>86</v>
      </c>
      <c r="H577" s="15" t="s">
        <v>72</v>
      </c>
      <c r="I577" s="16">
        <v>20786</v>
      </c>
      <c r="J577" s="16">
        <v>16040</v>
      </c>
      <c r="K577" s="16">
        <v>20459</v>
      </c>
      <c r="L577" s="17">
        <v>445.4</v>
      </c>
      <c r="M577" s="17">
        <v>37.799999999999997</v>
      </c>
      <c r="N577" s="17">
        <f t="shared" si="24"/>
        <v>407.59999999999997</v>
      </c>
      <c r="O577" s="17">
        <v>302.2</v>
      </c>
      <c r="P577" s="17">
        <v>397.7</v>
      </c>
      <c r="Q577" s="17">
        <v>269.5</v>
      </c>
      <c r="R577" s="17">
        <f t="shared" si="25"/>
        <v>138.09999999999997</v>
      </c>
      <c r="S577" s="17">
        <v>201.4</v>
      </c>
      <c r="T577" s="17">
        <f t="shared" si="26"/>
        <v>100.79999999999998</v>
      </c>
    </row>
    <row r="578" spans="1:20" x14ac:dyDescent="0.35">
      <c r="A578" s="14" t="s">
        <v>101</v>
      </c>
      <c r="B578" s="15" t="s">
        <v>102</v>
      </c>
      <c r="C578" s="15" t="s">
        <v>64</v>
      </c>
      <c r="D578" s="15" t="s">
        <v>65</v>
      </c>
      <c r="E578" s="15" t="s">
        <v>92</v>
      </c>
      <c r="F578" s="15" t="s">
        <v>87</v>
      </c>
      <c r="G578" s="15" t="s">
        <v>88</v>
      </c>
      <c r="H578" s="15" t="s">
        <v>72</v>
      </c>
      <c r="I578" s="16">
        <v>8799</v>
      </c>
      <c r="J578" s="16">
        <v>6288</v>
      </c>
      <c r="K578" s="16">
        <v>8679</v>
      </c>
      <c r="L578" s="17">
        <v>258.89999999999998</v>
      </c>
      <c r="M578" s="17">
        <v>19.3</v>
      </c>
      <c r="N578" s="17">
        <f t="shared" si="24"/>
        <v>239.59999999999997</v>
      </c>
      <c r="O578" s="17">
        <v>161.9</v>
      </c>
      <c r="P578" s="17">
        <v>234.5</v>
      </c>
      <c r="Q578" s="17">
        <v>142.69999999999999</v>
      </c>
      <c r="R578" s="17">
        <f t="shared" si="25"/>
        <v>96.899999999999977</v>
      </c>
      <c r="S578" s="17">
        <v>97.8</v>
      </c>
      <c r="T578" s="17">
        <f t="shared" si="26"/>
        <v>64.100000000000009</v>
      </c>
    </row>
    <row r="579" spans="1:20" x14ac:dyDescent="0.35">
      <c r="A579" s="14" t="s">
        <v>101</v>
      </c>
      <c r="B579" s="15" t="s">
        <v>102</v>
      </c>
      <c r="C579" s="15" t="s">
        <v>93</v>
      </c>
      <c r="D579" s="15" t="s">
        <v>94</v>
      </c>
      <c r="E579" s="15" t="s">
        <v>66</v>
      </c>
      <c r="F579" s="15" t="s">
        <v>67</v>
      </c>
      <c r="G579" s="15" t="s">
        <v>68</v>
      </c>
      <c r="H579" s="15" t="s">
        <v>69</v>
      </c>
      <c r="I579" s="16">
        <v>134805</v>
      </c>
      <c r="J579" s="16">
        <v>123655</v>
      </c>
      <c r="K579" s="16">
        <v>131255</v>
      </c>
      <c r="L579" s="17">
        <v>724.8</v>
      </c>
      <c r="M579" s="17">
        <v>103.9</v>
      </c>
      <c r="N579" s="17">
        <f t="shared" si="24"/>
        <v>620.9</v>
      </c>
      <c r="O579" s="17">
        <v>542.1</v>
      </c>
      <c r="P579" s="17">
        <v>602.4</v>
      </c>
      <c r="Q579" s="17">
        <v>339.2</v>
      </c>
      <c r="R579" s="17">
        <f t="shared" si="25"/>
        <v>281.7</v>
      </c>
      <c r="S579" s="17">
        <v>303.7</v>
      </c>
      <c r="T579" s="17">
        <f t="shared" si="26"/>
        <v>238.40000000000003</v>
      </c>
    </row>
    <row r="580" spans="1:20" x14ac:dyDescent="0.35">
      <c r="A580" s="14" t="s">
        <v>101</v>
      </c>
      <c r="B580" s="15" t="s">
        <v>102</v>
      </c>
      <c r="C580" s="15" t="s">
        <v>93</v>
      </c>
      <c r="D580" s="15" t="s">
        <v>94</v>
      </c>
      <c r="E580" s="15" t="s">
        <v>66</v>
      </c>
      <c r="F580" s="15" t="s">
        <v>67</v>
      </c>
      <c r="G580" s="15" t="s">
        <v>68</v>
      </c>
      <c r="H580" s="15" t="s">
        <v>70</v>
      </c>
      <c r="I580" s="16">
        <v>221279</v>
      </c>
      <c r="J580" s="16">
        <v>197799</v>
      </c>
      <c r="K580" s="16">
        <v>215384</v>
      </c>
      <c r="L580" s="17">
        <v>1370.1</v>
      </c>
      <c r="M580" s="17">
        <v>181.5</v>
      </c>
      <c r="N580" s="17">
        <f t="shared" ref="N580:N643" si="27">L580-M580</f>
        <v>1188.5999999999999</v>
      </c>
      <c r="O580" s="17">
        <v>1002.6</v>
      </c>
      <c r="P580" s="17">
        <v>1152.4000000000001</v>
      </c>
      <c r="Q580" s="17">
        <v>678.8</v>
      </c>
      <c r="R580" s="17">
        <f t="shared" ref="R580:R643" si="28">N580-Q580</f>
        <v>509.79999999999995</v>
      </c>
      <c r="S580" s="17">
        <v>583.6</v>
      </c>
      <c r="T580" s="17">
        <f t="shared" ref="T580:T643" si="29">O580-S580</f>
        <v>419</v>
      </c>
    </row>
    <row r="581" spans="1:20" x14ac:dyDescent="0.35">
      <c r="A581" s="14" t="s">
        <v>101</v>
      </c>
      <c r="B581" s="15" t="s">
        <v>102</v>
      </c>
      <c r="C581" s="15" t="s">
        <v>93</v>
      </c>
      <c r="D581" s="15" t="s">
        <v>94</v>
      </c>
      <c r="E581" s="15" t="s">
        <v>66</v>
      </c>
      <c r="F581" s="15" t="s">
        <v>67</v>
      </c>
      <c r="G581" s="15" t="s">
        <v>68</v>
      </c>
      <c r="H581" s="15" t="s">
        <v>71</v>
      </c>
      <c r="I581" s="16">
        <v>443101</v>
      </c>
      <c r="J581" s="16">
        <v>405941</v>
      </c>
      <c r="K581" s="16">
        <v>429360</v>
      </c>
      <c r="L581" s="17">
        <v>3479</v>
      </c>
      <c r="M581" s="17">
        <v>473.6</v>
      </c>
      <c r="N581" s="17">
        <f t="shared" si="27"/>
        <v>3005.4</v>
      </c>
      <c r="O581" s="17">
        <v>2626.6</v>
      </c>
      <c r="P581" s="17">
        <v>2889.5</v>
      </c>
      <c r="Q581" s="17">
        <v>1904.5</v>
      </c>
      <c r="R581" s="17">
        <f t="shared" si="28"/>
        <v>1100.9000000000001</v>
      </c>
      <c r="S581" s="17">
        <v>1701.2</v>
      </c>
      <c r="T581" s="17">
        <f t="shared" si="29"/>
        <v>925.39999999999986</v>
      </c>
    </row>
    <row r="582" spans="1:20" x14ac:dyDescent="0.35">
      <c r="A582" s="14" t="s">
        <v>101</v>
      </c>
      <c r="B582" s="15" t="s">
        <v>102</v>
      </c>
      <c r="C582" s="15" t="s">
        <v>93</v>
      </c>
      <c r="D582" s="15" t="s">
        <v>94</v>
      </c>
      <c r="E582" s="15" t="s">
        <v>66</v>
      </c>
      <c r="F582" s="15" t="s">
        <v>67</v>
      </c>
      <c r="G582" s="15" t="s">
        <v>68</v>
      </c>
      <c r="H582" s="15" t="s">
        <v>72</v>
      </c>
      <c r="I582" s="16">
        <v>170766</v>
      </c>
      <c r="J582" s="16">
        <v>150260</v>
      </c>
      <c r="K582" s="16">
        <v>167001</v>
      </c>
      <c r="L582" s="17">
        <v>1879.5</v>
      </c>
      <c r="M582" s="17">
        <v>265.60000000000002</v>
      </c>
      <c r="N582" s="17">
        <f t="shared" si="27"/>
        <v>1613.9</v>
      </c>
      <c r="O582" s="17">
        <v>1336.4</v>
      </c>
      <c r="P582" s="17">
        <v>1548.7</v>
      </c>
      <c r="Q582" s="17">
        <v>1052.8</v>
      </c>
      <c r="R582" s="17">
        <f t="shared" si="28"/>
        <v>561.10000000000014</v>
      </c>
      <c r="S582" s="17">
        <v>885.9</v>
      </c>
      <c r="T582" s="17">
        <f t="shared" si="29"/>
        <v>450.50000000000011</v>
      </c>
    </row>
    <row r="583" spans="1:20" x14ac:dyDescent="0.35">
      <c r="A583" s="14" t="s">
        <v>101</v>
      </c>
      <c r="B583" s="15" t="s">
        <v>102</v>
      </c>
      <c r="C583" s="15" t="s">
        <v>93</v>
      </c>
      <c r="D583" s="15" t="s">
        <v>94</v>
      </c>
      <c r="E583" s="15" t="s">
        <v>66</v>
      </c>
      <c r="F583" s="15" t="s">
        <v>67</v>
      </c>
      <c r="G583" s="15" t="s">
        <v>73</v>
      </c>
      <c r="H583" s="15" t="s">
        <v>71</v>
      </c>
      <c r="I583" s="16">
        <v>128598</v>
      </c>
      <c r="J583" s="16">
        <v>108007</v>
      </c>
      <c r="K583" s="16">
        <v>126208</v>
      </c>
      <c r="L583" s="17">
        <v>1035.8</v>
      </c>
      <c r="M583" s="17">
        <v>141.80000000000001</v>
      </c>
      <c r="N583" s="17">
        <f t="shared" si="27"/>
        <v>894</v>
      </c>
      <c r="O583" s="17">
        <v>705.1</v>
      </c>
      <c r="P583" s="17">
        <v>863.3</v>
      </c>
      <c r="Q583" s="17">
        <v>562.70000000000005</v>
      </c>
      <c r="R583" s="17">
        <f t="shared" si="28"/>
        <v>331.29999999999995</v>
      </c>
      <c r="S583" s="17">
        <v>450.1</v>
      </c>
      <c r="T583" s="17">
        <f t="shared" si="29"/>
        <v>255</v>
      </c>
    </row>
    <row r="584" spans="1:20" x14ac:dyDescent="0.35">
      <c r="A584" s="14" t="s">
        <v>101</v>
      </c>
      <c r="B584" s="15" t="s">
        <v>102</v>
      </c>
      <c r="C584" s="15" t="s">
        <v>93</v>
      </c>
      <c r="D584" s="15" t="s">
        <v>94</v>
      </c>
      <c r="E584" s="15" t="s">
        <v>66</v>
      </c>
      <c r="F584" s="15" t="s">
        <v>67</v>
      </c>
      <c r="G584" s="15" t="s">
        <v>73</v>
      </c>
      <c r="H584" s="15" t="s">
        <v>72</v>
      </c>
      <c r="I584" s="16">
        <v>59814</v>
      </c>
      <c r="J584" s="16">
        <v>48944</v>
      </c>
      <c r="K584" s="16">
        <v>58704</v>
      </c>
      <c r="L584" s="17">
        <v>629.29999999999995</v>
      </c>
      <c r="M584" s="17">
        <v>86.3</v>
      </c>
      <c r="N584" s="17">
        <f t="shared" si="27"/>
        <v>543</v>
      </c>
      <c r="O584" s="17">
        <v>419.2</v>
      </c>
      <c r="P584" s="17">
        <v>527.9</v>
      </c>
      <c r="Q584" s="17">
        <v>343.3</v>
      </c>
      <c r="R584" s="17">
        <f t="shared" si="28"/>
        <v>199.7</v>
      </c>
      <c r="S584" s="17">
        <v>268.10000000000002</v>
      </c>
      <c r="T584" s="17">
        <f t="shared" si="29"/>
        <v>151.09999999999997</v>
      </c>
    </row>
    <row r="585" spans="1:20" x14ac:dyDescent="0.35">
      <c r="A585" s="14" t="s">
        <v>101</v>
      </c>
      <c r="B585" s="15" t="s">
        <v>102</v>
      </c>
      <c r="C585" s="15" t="s">
        <v>93</v>
      </c>
      <c r="D585" s="15" t="s">
        <v>94</v>
      </c>
      <c r="E585" s="15" t="s">
        <v>66</v>
      </c>
      <c r="F585" s="15" t="s">
        <v>67</v>
      </c>
      <c r="G585" s="15" t="s">
        <v>74</v>
      </c>
      <c r="H585" s="15" t="s">
        <v>70</v>
      </c>
      <c r="I585" s="16">
        <v>84937</v>
      </c>
      <c r="J585" s="16">
        <v>74159</v>
      </c>
      <c r="K585" s="16">
        <v>82973</v>
      </c>
      <c r="L585" s="17">
        <v>523.6</v>
      </c>
      <c r="M585" s="17">
        <v>72.8</v>
      </c>
      <c r="N585" s="17">
        <f t="shared" si="27"/>
        <v>450.8</v>
      </c>
      <c r="O585" s="17">
        <v>374.5</v>
      </c>
      <c r="P585" s="17">
        <v>435.6</v>
      </c>
      <c r="Q585" s="17">
        <v>250.3</v>
      </c>
      <c r="R585" s="17">
        <f t="shared" si="28"/>
        <v>200.5</v>
      </c>
      <c r="S585" s="17">
        <v>213.3</v>
      </c>
      <c r="T585" s="17">
        <f t="shared" si="29"/>
        <v>161.19999999999999</v>
      </c>
    </row>
    <row r="586" spans="1:20" x14ac:dyDescent="0.35">
      <c r="A586" s="14" t="s">
        <v>101</v>
      </c>
      <c r="B586" s="15" t="s">
        <v>102</v>
      </c>
      <c r="C586" s="15" t="s">
        <v>93</v>
      </c>
      <c r="D586" s="15" t="s">
        <v>94</v>
      </c>
      <c r="E586" s="15" t="s">
        <v>66</v>
      </c>
      <c r="F586" s="15" t="s">
        <v>67</v>
      </c>
      <c r="G586" s="15" t="s">
        <v>74</v>
      </c>
      <c r="H586" s="15" t="s">
        <v>71</v>
      </c>
      <c r="I586" s="16">
        <v>210451</v>
      </c>
      <c r="J586" s="16">
        <v>186436</v>
      </c>
      <c r="K586" s="16">
        <v>205036</v>
      </c>
      <c r="L586" s="17">
        <v>1658.5</v>
      </c>
      <c r="M586" s="17">
        <v>240.3</v>
      </c>
      <c r="N586" s="17">
        <f t="shared" si="27"/>
        <v>1418.2</v>
      </c>
      <c r="O586" s="17">
        <v>1201</v>
      </c>
      <c r="P586" s="17">
        <v>1365</v>
      </c>
      <c r="Q586" s="17">
        <v>866.9</v>
      </c>
      <c r="R586" s="17">
        <f t="shared" si="28"/>
        <v>551.30000000000007</v>
      </c>
      <c r="S586" s="17">
        <v>745.5</v>
      </c>
      <c r="T586" s="17">
        <f t="shared" si="29"/>
        <v>455.5</v>
      </c>
    </row>
    <row r="587" spans="1:20" x14ac:dyDescent="0.35">
      <c r="A587" s="14" t="s">
        <v>101</v>
      </c>
      <c r="B587" s="15" t="s">
        <v>102</v>
      </c>
      <c r="C587" s="15" t="s">
        <v>93</v>
      </c>
      <c r="D587" s="15" t="s">
        <v>94</v>
      </c>
      <c r="E587" s="15" t="s">
        <v>66</v>
      </c>
      <c r="F587" s="15" t="s">
        <v>67</v>
      </c>
      <c r="G587" s="15" t="s">
        <v>75</v>
      </c>
      <c r="H587" s="15" t="s">
        <v>71</v>
      </c>
      <c r="I587" s="16">
        <v>157924</v>
      </c>
      <c r="J587" s="16">
        <v>141668</v>
      </c>
      <c r="K587" s="16">
        <v>155170</v>
      </c>
      <c r="L587" s="17">
        <v>1210</v>
      </c>
      <c r="M587" s="17">
        <v>180.9</v>
      </c>
      <c r="N587" s="17">
        <f t="shared" si="27"/>
        <v>1029.0999999999999</v>
      </c>
      <c r="O587" s="17">
        <v>877.4</v>
      </c>
      <c r="P587" s="17">
        <v>992.3</v>
      </c>
      <c r="Q587" s="17">
        <v>636.1</v>
      </c>
      <c r="R587" s="17">
        <f t="shared" si="28"/>
        <v>392.99999999999989</v>
      </c>
      <c r="S587" s="17">
        <v>554.9</v>
      </c>
      <c r="T587" s="17">
        <f t="shared" si="29"/>
        <v>322.5</v>
      </c>
    </row>
    <row r="588" spans="1:20" x14ac:dyDescent="0.35">
      <c r="A588" s="14" t="s">
        <v>101</v>
      </c>
      <c r="B588" s="15" t="s">
        <v>102</v>
      </c>
      <c r="C588" s="15" t="s">
        <v>93</v>
      </c>
      <c r="D588" s="15" t="s">
        <v>94</v>
      </c>
      <c r="E588" s="15" t="s">
        <v>66</v>
      </c>
      <c r="F588" s="15" t="s">
        <v>67</v>
      </c>
      <c r="G588" s="15" t="s">
        <v>76</v>
      </c>
      <c r="H588" s="15" t="s">
        <v>72</v>
      </c>
      <c r="I588" s="16">
        <v>39625</v>
      </c>
      <c r="J588" s="16">
        <v>34656</v>
      </c>
      <c r="K588" s="16">
        <v>38643</v>
      </c>
      <c r="L588" s="17">
        <v>496.4</v>
      </c>
      <c r="M588" s="17">
        <v>68.2</v>
      </c>
      <c r="N588" s="17">
        <f t="shared" si="27"/>
        <v>428.2</v>
      </c>
      <c r="O588" s="17">
        <v>357.2</v>
      </c>
      <c r="P588" s="17">
        <v>414.8</v>
      </c>
      <c r="Q588" s="17">
        <v>263.60000000000002</v>
      </c>
      <c r="R588" s="17">
        <f t="shared" si="28"/>
        <v>164.59999999999997</v>
      </c>
      <c r="S588" s="17">
        <v>223</v>
      </c>
      <c r="T588" s="17">
        <f t="shared" si="29"/>
        <v>134.19999999999999</v>
      </c>
    </row>
    <row r="589" spans="1:20" x14ac:dyDescent="0.35">
      <c r="A589" s="14" t="s">
        <v>101</v>
      </c>
      <c r="B589" s="15" t="s">
        <v>102</v>
      </c>
      <c r="C589" s="15" t="s">
        <v>93</v>
      </c>
      <c r="D589" s="15" t="s">
        <v>94</v>
      </c>
      <c r="E589" s="15" t="s">
        <v>66</v>
      </c>
      <c r="F589" s="15" t="s">
        <v>79</v>
      </c>
      <c r="G589" s="15" t="s">
        <v>95</v>
      </c>
      <c r="H589" s="15" t="s">
        <v>71</v>
      </c>
      <c r="I589" s="16">
        <v>133437</v>
      </c>
      <c r="J589" s="16">
        <v>118672</v>
      </c>
      <c r="K589" s="16">
        <v>130082</v>
      </c>
      <c r="L589" s="17">
        <v>633</v>
      </c>
      <c r="M589" s="17">
        <v>90</v>
      </c>
      <c r="N589" s="17">
        <f t="shared" si="27"/>
        <v>543</v>
      </c>
      <c r="O589" s="17">
        <v>454.4</v>
      </c>
      <c r="P589" s="17">
        <v>526.4</v>
      </c>
      <c r="Q589" s="17">
        <v>333.1</v>
      </c>
      <c r="R589" s="17">
        <f t="shared" si="28"/>
        <v>209.89999999999998</v>
      </c>
      <c r="S589" s="17">
        <v>284</v>
      </c>
      <c r="T589" s="17">
        <f t="shared" si="29"/>
        <v>170.39999999999998</v>
      </c>
    </row>
    <row r="590" spans="1:20" x14ac:dyDescent="0.35">
      <c r="A590" s="14" t="s">
        <v>101</v>
      </c>
      <c r="B590" s="15" t="s">
        <v>102</v>
      </c>
      <c r="C590" s="15" t="s">
        <v>93</v>
      </c>
      <c r="D590" s="15" t="s">
        <v>94</v>
      </c>
      <c r="E590" s="15" t="s">
        <v>66</v>
      </c>
      <c r="F590" s="15" t="s">
        <v>81</v>
      </c>
      <c r="G590" s="15" t="s">
        <v>82</v>
      </c>
      <c r="H590" s="15" t="s">
        <v>71</v>
      </c>
      <c r="I590" s="16">
        <v>46377</v>
      </c>
      <c r="J590" s="16">
        <v>40446</v>
      </c>
      <c r="K590" s="16">
        <v>45483</v>
      </c>
      <c r="L590" s="17">
        <v>483.8</v>
      </c>
      <c r="M590" s="17">
        <v>66.900000000000006</v>
      </c>
      <c r="N590" s="17">
        <f t="shared" si="27"/>
        <v>416.9</v>
      </c>
      <c r="O590" s="17">
        <v>342</v>
      </c>
      <c r="P590" s="17">
        <v>399.9</v>
      </c>
      <c r="Q590" s="17">
        <v>255</v>
      </c>
      <c r="R590" s="17">
        <f t="shared" si="28"/>
        <v>161.89999999999998</v>
      </c>
      <c r="S590" s="17">
        <v>210.9</v>
      </c>
      <c r="T590" s="17">
        <f t="shared" si="29"/>
        <v>131.1</v>
      </c>
    </row>
    <row r="591" spans="1:20" x14ac:dyDescent="0.35">
      <c r="A591" s="14" t="s">
        <v>101</v>
      </c>
      <c r="B591" s="15" t="s">
        <v>102</v>
      </c>
      <c r="C591" s="15" t="s">
        <v>93</v>
      </c>
      <c r="D591" s="15" t="s">
        <v>94</v>
      </c>
      <c r="E591" s="15" t="s">
        <v>66</v>
      </c>
      <c r="F591" s="15" t="s">
        <v>83</v>
      </c>
      <c r="G591" s="15" t="s">
        <v>84</v>
      </c>
      <c r="H591" s="15" t="s">
        <v>72</v>
      </c>
      <c r="I591" s="16">
        <v>49657</v>
      </c>
      <c r="J591" s="16">
        <v>38631</v>
      </c>
      <c r="K591" s="16">
        <v>48111</v>
      </c>
      <c r="L591" s="17">
        <v>1584.4</v>
      </c>
      <c r="M591" s="17">
        <v>228</v>
      </c>
      <c r="N591" s="17">
        <f t="shared" si="27"/>
        <v>1356.4</v>
      </c>
      <c r="O591" s="17">
        <v>998.9</v>
      </c>
      <c r="P591" s="17">
        <v>1299.7</v>
      </c>
      <c r="Q591" s="17">
        <v>778.8</v>
      </c>
      <c r="R591" s="17">
        <f t="shared" si="28"/>
        <v>577.60000000000014</v>
      </c>
      <c r="S591" s="17">
        <v>585.4</v>
      </c>
      <c r="T591" s="17">
        <f t="shared" si="29"/>
        <v>413.5</v>
      </c>
    </row>
    <row r="592" spans="1:20" x14ac:dyDescent="0.35">
      <c r="A592" s="14" t="s">
        <v>101</v>
      </c>
      <c r="B592" s="15" t="s">
        <v>102</v>
      </c>
      <c r="C592" s="15" t="s">
        <v>93</v>
      </c>
      <c r="D592" s="15" t="s">
        <v>94</v>
      </c>
      <c r="E592" s="15" t="s">
        <v>89</v>
      </c>
      <c r="F592" s="15" t="s">
        <v>67</v>
      </c>
      <c r="G592" s="15" t="s">
        <v>68</v>
      </c>
      <c r="H592" s="15" t="s">
        <v>69</v>
      </c>
      <c r="I592" s="16">
        <v>836230</v>
      </c>
      <c r="J592" s="16">
        <v>769578</v>
      </c>
      <c r="K592" s="16">
        <v>820752</v>
      </c>
      <c r="L592" s="17">
        <v>4488.7</v>
      </c>
      <c r="M592" s="17">
        <v>339.6</v>
      </c>
      <c r="N592" s="17">
        <f t="shared" si="27"/>
        <v>4149.0999999999995</v>
      </c>
      <c r="O592" s="17">
        <v>3643</v>
      </c>
      <c r="P592" s="17">
        <v>3988</v>
      </c>
      <c r="Q592" s="17">
        <v>2280.1</v>
      </c>
      <c r="R592" s="17">
        <f t="shared" si="28"/>
        <v>1868.9999999999995</v>
      </c>
      <c r="S592" s="17">
        <v>2026.1</v>
      </c>
      <c r="T592" s="17">
        <f t="shared" si="29"/>
        <v>1616.9</v>
      </c>
    </row>
    <row r="593" spans="1:20" x14ac:dyDescent="0.35">
      <c r="A593" s="14" t="s">
        <v>101</v>
      </c>
      <c r="B593" s="15" t="s">
        <v>102</v>
      </c>
      <c r="C593" s="15" t="s">
        <v>93</v>
      </c>
      <c r="D593" s="15" t="s">
        <v>94</v>
      </c>
      <c r="E593" s="15" t="s">
        <v>89</v>
      </c>
      <c r="F593" s="15" t="s">
        <v>67</v>
      </c>
      <c r="G593" s="15" t="s">
        <v>68</v>
      </c>
      <c r="H593" s="15" t="s">
        <v>70</v>
      </c>
      <c r="I593" s="16">
        <v>687090</v>
      </c>
      <c r="J593" s="16">
        <v>621637</v>
      </c>
      <c r="K593" s="16">
        <v>667017</v>
      </c>
      <c r="L593" s="17">
        <v>4123.6000000000004</v>
      </c>
      <c r="M593" s="17">
        <v>274.39999999999998</v>
      </c>
      <c r="N593" s="17">
        <f t="shared" si="27"/>
        <v>3849.2000000000003</v>
      </c>
      <c r="O593" s="17">
        <v>3328.5</v>
      </c>
      <c r="P593" s="17">
        <v>3717.2</v>
      </c>
      <c r="Q593" s="17">
        <v>2136.3000000000002</v>
      </c>
      <c r="R593" s="17">
        <f t="shared" si="28"/>
        <v>1712.9</v>
      </c>
      <c r="S593" s="17">
        <v>1896.2</v>
      </c>
      <c r="T593" s="17">
        <f t="shared" si="29"/>
        <v>1432.3</v>
      </c>
    </row>
    <row r="594" spans="1:20" x14ac:dyDescent="0.35">
      <c r="A594" s="14" t="s">
        <v>101</v>
      </c>
      <c r="B594" s="15" t="s">
        <v>102</v>
      </c>
      <c r="C594" s="15" t="s">
        <v>93</v>
      </c>
      <c r="D594" s="15" t="s">
        <v>94</v>
      </c>
      <c r="E594" s="15" t="s">
        <v>89</v>
      </c>
      <c r="F594" s="15" t="s">
        <v>67</v>
      </c>
      <c r="G594" s="15" t="s">
        <v>68</v>
      </c>
      <c r="H594" s="15" t="s">
        <v>71</v>
      </c>
      <c r="I594" s="16">
        <v>630228</v>
      </c>
      <c r="J594" s="16">
        <v>571533</v>
      </c>
      <c r="K594" s="16">
        <v>611138</v>
      </c>
      <c r="L594" s="17">
        <v>4886.3</v>
      </c>
      <c r="M594" s="17">
        <v>364.8</v>
      </c>
      <c r="N594" s="17">
        <f t="shared" si="27"/>
        <v>4521.5</v>
      </c>
      <c r="O594" s="17">
        <v>3900.9</v>
      </c>
      <c r="P594" s="17">
        <v>4342.8999999999996</v>
      </c>
      <c r="Q594" s="17">
        <v>2795.9</v>
      </c>
      <c r="R594" s="17">
        <f t="shared" si="28"/>
        <v>1725.6</v>
      </c>
      <c r="S594" s="17">
        <v>2469.1999999999998</v>
      </c>
      <c r="T594" s="17">
        <f t="shared" si="29"/>
        <v>1431.7000000000003</v>
      </c>
    </row>
    <row r="595" spans="1:20" x14ac:dyDescent="0.35">
      <c r="A595" s="14" t="s">
        <v>101</v>
      </c>
      <c r="B595" s="15" t="s">
        <v>102</v>
      </c>
      <c r="C595" s="15" t="s">
        <v>93</v>
      </c>
      <c r="D595" s="15" t="s">
        <v>94</v>
      </c>
      <c r="E595" s="15" t="s">
        <v>89</v>
      </c>
      <c r="F595" s="15" t="s">
        <v>67</v>
      </c>
      <c r="G595" s="15" t="s">
        <v>68</v>
      </c>
      <c r="H595" s="15" t="s">
        <v>72</v>
      </c>
      <c r="I595" s="16">
        <v>128274</v>
      </c>
      <c r="J595" s="16">
        <v>115298</v>
      </c>
      <c r="K595" s="16">
        <v>125264</v>
      </c>
      <c r="L595" s="17">
        <v>1327.3</v>
      </c>
      <c r="M595" s="17">
        <v>90.2</v>
      </c>
      <c r="N595" s="17">
        <f t="shared" si="27"/>
        <v>1237.0999999999999</v>
      </c>
      <c r="O595" s="17">
        <v>1054.2</v>
      </c>
      <c r="P595" s="17">
        <v>1199.9000000000001</v>
      </c>
      <c r="Q595" s="17">
        <v>809.9</v>
      </c>
      <c r="R595" s="17">
        <f t="shared" si="28"/>
        <v>427.19999999999993</v>
      </c>
      <c r="S595" s="17">
        <v>697.8</v>
      </c>
      <c r="T595" s="17">
        <f t="shared" si="29"/>
        <v>356.40000000000009</v>
      </c>
    </row>
    <row r="596" spans="1:20" x14ac:dyDescent="0.35">
      <c r="A596" s="14" t="s">
        <v>101</v>
      </c>
      <c r="B596" s="15" t="s">
        <v>102</v>
      </c>
      <c r="C596" s="15" t="s">
        <v>93</v>
      </c>
      <c r="D596" s="15" t="s">
        <v>94</v>
      </c>
      <c r="E596" s="15" t="s">
        <v>89</v>
      </c>
      <c r="F596" s="15" t="s">
        <v>67</v>
      </c>
      <c r="G596" s="15" t="s">
        <v>73</v>
      </c>
      <c r="H596" s="15" t="s">
        <v>71</v>
      </c>
      <c r="I596" s="16">
        <v>145673</v>
      </c>
      <c r="J596" s="16">
        <v>121599</v>
      </c>
      <c r="K596" s="16">
        <v>141208</v>
      </c>
      <c r="L596" s="17">
        <v>1083.5</v>
      </c>
      <c r="M596" s="17">
        <v>66.3</v>
      </c>
      <c r="N596" s="17">
        <f t="shared" si="27"/>
        <v>1017.2</v>
      </c>
      <c r="O596" s="17">
        <v>807.5</v>
      </c>
      <c r="P596" s="17">
        <v>987.5</v>
      </c>
      <c r="Q596" s="17">
        <v>619</v>
      </c>
      <c r="R596" s="17">
        <f t="shared" si="28"/>
        <v>398.20000000000005</v>
      </c>
      <c r="S596" s="17">
        <v>503</v>
      </c>
      <c r="T596" s="17">
        <f t="shared" si="29"/>
        <v>304.5</v>
      </c>
    </row>
    <row r="597" spans="1:20" x14ac:dyDescent="0.35">
      <c r="A597" s="14" t="s">
        <v>101</v>
      </c>
      <c r="B597" s="15" t="s">
        <v>102</v>
      </c>
      <c r="C597" s="15" t="s">
        <v>93</v>
      </c>
      <c r="D597" s="15" t="s">
        <v>94</v>
      </c>
      <c r="E597" s="15" t="s">
        <v>89</v>
      </c>
      <c r="F597" s="15" t="s">
        <v>67</v>
      </c>
      <c r="G597" s="15" t="s">
        <v>73</v>
      </c>
      <c r="H597" s="15" t="s">
        <v>72</v>
      </c>
      <c r="I597" s="16">
        <v>40764</v>
      </c>
      <c r="J597" s="16">
        <v>34097</v>
      </c>
      <c r="K597" s="16">
        <v>39969</v>
      </c>
      <c r="L597" s="17">
        <v>437.7</v>
      </c>
      <c r="M597" s="17">
        <v>34</v>
      </c>
      <c r="N597" s="17">
        <f t="shared" si="27"/>
        <v>403.7</v>
      </c>
      <c r="O597" s="17">
        <v>322.3</v>
      </c>
      <c r="P597" s="17">
        <v>389.1</v>
      </c>
      <c r="Q597" s="17">
        <v>256.5</v>
      </c>
      <c r="R597" s="17">
        <f t="shared" si="28"/>
        <v>147.19999999999999</v>
      </c>
      <c r="S597" s="17">
        <v>207.2</v>
      </c>
      <c r="T597" s="17">
        <f t="shared" si="29"/>
        <v>115.10000000000002</v>
      </c>
    </row>
    <row r="598" spans="1:20" x14ac:dyDescent="0.35">
      <c r="A598" s="14" t="s">
        <v>101</v>
      </c>
      <c r="B598" s="15" t="s">
        <v>102</v>
      </c>
      <c r="C598" s="15" t="s">
        <v>93</v>
      </c>
      <c r="D598" s="15" t="s">
        <v>94</v>
      </c>
      <c r="E598" s="15" t="s">
        <v>89</v>
      </c>
      <c r="F598" s="15" t="s">
        <v>67</v>
      </c>
      <c r="G598" s="15" t="s">
        <v>74</v>
      </c>
      <c r="H598" s="15" t="s">
        <v>70</v>
      </c>
      <c r="I598" s="16">
        <v>285607</v>
      </c>
      <c r="J598" s="16">
        <v>255192</v>
      </c>
      <c r="K598" s="16">
        <v>278539</v>
      </c>
      <c r="L598" s="17">
        <v>1698.2</v>
      </c>
      <c r="M598" s="17">
        <v>126</v>
      </c>
      <c r="N598" s="17">
        <f t="shared" si="27"/>
        <v>1572.2</v>
      </c>
      <c r="O598" s="17">
        <v>1340.7</v>
      </c>
      <c r="P598" s="17">
        <v>1515.8</v>
      </c>
      <c r="Q598" s="17">
        <v>885.7</v>
      </c>
      <c r="R598" s="17">
        <f t="shared" si="28"/>
        <v>686.5</v>
      </c>
      <c r="S598" s="17">
        <v>764.8</v>
      </c>
      <c r="T598" s="17">
        <f t="shared" si="29"/>
        <v>575.90000000000009</v>
      </c>
    </row>
    <row r="599" spans="1:20" x14ac:dyDescent="0.35">
      <c r="A599" s="14" t="s">
        <v>101</v>
      </c>
      <c r="B599" s="15" t="s">
        <v>102</v>
      </c>
      <c r="C599" s="15" t="s">
        <v>93</v>
      </c>
      <c r="D599" s="15" t="s">
        <v>94</v>
      </c>
      <c r="E599" s="15" t="s">
        <v>89</v>
      </c>
      <c r="F599" s="15" t="s">
        <v>67</v>
      </c>
      <c r="G599" s="15" t="s">
        <v>74</v>
      </c>
      <c r="H599" s="15" t="s">
        <v>71</v>
      </c>
      <c r="I599" s="16">
        <v>237839</v>
      </c>
      <c r="J599" s="16">
        <v>214386</v>
      </c>
      <c r="K599" s="16">
        <v>232733</v>
      </c>
      <c r="L599" s="17">
        <v>1786.3</v>
      </c>
      <c r="M599" s="17">
        <v>125.2</v>
      </c>
      <c r="N599" s="17">
        <f t="shared" si="27"/>
        <v>1661.1</v>
      </c>
      <c r="O599" s="17">
        <v>1419.3</v>
      </c>
      <c r="P599" s="17">
        <v>1609</v>
      </c>
      <c r="Q599" s="17">
        <v>1030.7</v>
      </c>
      <c r="R599" s="17">
        <f t="shared" si="28"/>
        <v>630.39999999999986</v>
      </c>
      <c r="S599" s="17">
        <v>891.9</v>
      </c>
      <c r="T599" s="17">
        <f t="shared" si="29"/>
        <v>527.4</v>
      </c>
    </row>
    <row r="600" spans="1:20" x14ac:dyDescent="0.35">
      <c r="A600" s="14" t="s">
        <v>101</v>
      </c>
      <c r="B600" s="15" t="s">
        <v>102</v>
      </c>
      <c r="C600" s="15" t="s">
        <v>93</v>
      </c>
      <c r="D600" s="15" t="s">
        <v>94</v>
      </c>
      <c r="E600" s="15" t="s">
        <v>89</v>
      </c>
      <c r="F600" s="15" t="s">
        <v>67</v>
      </c>
      <c r="G600" s="15" t="s">
        <v>75</v>
      </c>
      <c r="H600" s="15" t="s">
        <v>71</v>
      </c>
      <c r="I600" s="16">
        <v>202059</v>
      </c>
      <c r="J600" s="16">
        <v>185818</v>
      </c>
      <c r="K600" s="16">
        <v>198243</v>
      </c>
      <c r="L600" s="17">
        <v>1475.7</v>
      </c>
      <c r="M600" s="17">
        <v>102.7</v>
      </c>
      <c r="N600" s="17">
        <f t="shared" si="27"/>
        <v>1373</v>
      </c>
      <c r="O600" s="17">
        <v>1207.0999999999999</v>
      </c>
      <c r="P600" s="17">
        <v>1329.9</v>
      </c>
      <c r="Q600" s="17">
        <v>866.7</v>
      </c>
      <c r="R600" s="17">
        <f t="shared" si="28"/>
        <v>506.29999999999995</v>
      </c>
      <c r="S600" s="17">
        <v>778.5</v>
      </c>
      <c r="T600" s="17">
        <f t="shared" si="29"/>
        <v>428.59999999999991</v>
      </c>
    </row>
    <row r="601" spans="1:20" x14ac:dyDescent="0.35">
      <c r="A601" s="14" t="s">
        <v>101</v>
      </c>
      <c r="B601" s="15" t="s">
        <v>102</v>
      </c>
      <c r="C601" s="15" t="s">
        <v>93</v>
      </c>
      <c r="D601" s="15" t="s">
        <v>94</v>
      </c>
      <c r="E601" s="15" t="s">
        <v>89</v>
      </c>
      <c r="F601" s="15" t="s">
        <v>67</v>
      </c>
      <c r="G601" s="15" t="s">
        <v>76</v>
      </c>
      <c r="H601" s="15" t="s">
        <v>72</v>
      </c>
      <c r="I601" s="16">
        <v>31115</v>
      </c>
      <c r="J601" s="16">
        <v>27404</v>
      </c>
      <c r="K601" s="16">
        <v>30243</v>
      </c>
      <c r="L601" s="17">
        <v>379.5</v>
      </c>
      <c r="M601" s="17">
        <v>23.1</v>
      </c>
      <c r="N601" s="17">
        <f t="shared" si="27"/>
        <v>356.4</v>
      </c>
      <c r="O601" s="17">
        <v>299.7</v>
      </c>
      <c r="P601" s="17">
        <v>341.9</v>
      </c>
      <c r="Q601" s="17">
        <v>220.1</v>
      </c>
      <c r="R601" s="17">
        <f t="shared" si="28"/>
        <v>136.29999999999998</v>
      </c>
      <c r="S601" s="17">
        <v>189.4</v>
      </c>
      <c r="T601" s="17">
        <f t="shared" si="29"/>
        <v>110.29999999999998</v>
      </c>
    </row>
    <row r="602" spans="1:20" x14ac:dyDescent="0.35">
      <c r="A602" s="14" t="s">
        <v>101</v>
      </c>
      <c r="B602" s="15" t="s">
        <v>102</v>
      </c>
      <c r="C602" s="15" t="s">
        <v>93</v>
      </c>
      <c r="D602" s="15" t="s">
        <v>94</v>
      </c>
      <c r="E602" s="15" t="s">
        <v>89</v>
      </c>
      <c r="F602" s="15" t="s">
        <v>79</v>
      </c>
      <c r="G602" s="15" t="s">
        <v>95</v>
      </c>
      <c r="H602" s="15" t="s">
        <v>71</v>
      </c>
      <c r="I602" s="16">
        <v>193443</v>
      </c>
      <c r="J602" s="16">
        <v>173023</v>
      </c>
      <c r="K602" s="16">
        <v>187601</v>
      </c>
      <c r="L602" s="17">
        <v>880.9</v>
      </c>
      <c r="M602" s="17">
        <v>55.7</v>
      </c>
      <c r="N602" s="17">
        <f t="shared" si="27"/>
        <v>825.19999999999993</v>
      </c>
      <c r="O602" s="17">
        <v>693.6</v>
      </c>
      <c r="P602" s="17">
        <v>799.7</v>
      </c>
      <c r="Q602" s="17">
        <v>486.2</v>
      </c>
      <c r="R602" s="17">
        <f t="shared" si="28"/>
        <v>338.99999999999994</v>
      </c>
      <c r="S602" s="17">
        <v>414</v>
      </c>
      <c r="T602" s="17">
        <f t="shared" si="29"/>
        <v>279.60000000000002</v>
      </c>
    </row>
    <row r="603" spans="1:20" x14ac:dyDescent="0.35">
      <c r="A603" s="14" t="s">
        <v>101</v>
      </c>
      <c r="B603" s="15" t="s">
        <v>102</v>
      </c>
      <c r="C603" s="15" t="s">
        <v>93</v>
      </c>
      <c r="D603" s="15" t="s">
        <v>94</v>
      </c>
      <c r="E603" s="15" t="s">
        <v>89</v>
      </c>
      <c r="F603" s="15" t="s">
        <v>81</v>
      </c>
      <c r="G603" s="15" t="s">
        <v>82</v>
      </c>
      <c r="H603" s="15" t="s">
        <v>71</v>
      </c>
      <c r="I603" s="16">
        <v>59385</v>
      </c>
      <c r="J603" s="16">
        <v>52071</v>
      </c>
      <c r="K603" s="16">
        <v>58211</v>
      </c>
      <c r="L603" s="17">
        <v>582.4</v>
      </c>
      <c r="M603" s="17">
        <v>46.1</v>
      </c>
      <c r="N603" s="17">
        <f t="shared" si="27"/>
        <v>536.29999999999995</v>
      </c>
      <c r="O603" s="17">
        <v>448.4</v>
      </c>
      <c r="P603" s="17">
        <v>518.79999999999995</v>
      </c>
      <c r="Q603" s="17">
        <v>325.8</v>
      </c>
      <c r="R603" s="17">
        <f t="shared" si="28"/>
        <v>210.49999999999994</v>
      </c>
      <c r="S603" s="17">
        <v>279</v>
      </c>
      <c r="T603" s="17">
        <f t="shared" si="29"/>
        <v>169.39999999999998</v>
      </c>
    </row>
    <row r="604" spans="1:20" x14ac:dyDescent="0.35">
      <c r="A604" s="14" t="s">
        <v>101</v>
      </c>
      <c r="B604" s="15" t="s">
        <v>102</v>
      </c>
      <c r="C604" s="15" t="s">
        <v>93</v>
      </c>
      <c r="D604" s="15" t="s">
        <v>94</v>
      </c>
      <c r="E604" s="15" t="s">
        <v>89</v>
      </c>
      <c r="F604" s="15" t="s">
        <v>83</v>
      </c>
      <c r="G604" s="15" t="s">
        <v>84</v>
      </c>
      <c r="H604" s="15" t="s">
        <v>72</v>
      </c>
      <c r="I604" s="16">
        <v>24544</v>
      </c>
      <c r="J604" s="16">
        <v>19454</v>
      </c>
      <c r="K604" s="16">
        <v>24056</v>
      </c>
      <c r="L604" s="17">
        <v>759.2</v>
      </c>
      <c r="M604" s="17">
        <v>50</v>
      </c>
      <c r="N604" s="17">
        <f t="shared" si="27"/>
        <v>709.2</v>
      </c>
      <c r="O604" s="17">
        <v>531.9</v>
      </c>
      <c r="P604" s="17">
        <v>688.9</v>
      </c>
      <c r="Q604" s="17">
        <v>405.2</v>
      </c>
      <c r="R604" s="17">
        <f t="shared" si="28"/>
        <v>304.00000000000006</v>
      </c>
      <c r="S604" s="17">
        <v>309.89999999999998</v>
      </c>
      <c r="T604" s="17">
        <f t="shared" si="29"/>
        <v>222</v>
      </c>
    </row>
    <row r="605" spans="1:20" x14ac:dyDescent="0.35">
      <c r="A605" s="14" t="s">
        <v>101</v>
      </c>
      <c r="B605" s="15" t="s">
        <v>102</v>
      </c>
      <c r="C605" s="15" t="s">
        <v>93</v>
      </c>
      <c r="D605" s="15" t="s">
        <v>94</v>
      </c>
      <c r="E605" s="15" t="s">
        <v>90</v>
      </c>
      <c r="F605" s="15" t="s">
        <v>67</v>
      </c>
      <c r="G605" s="15" t="s">
        <v>68</v>
      </c>
      <c r="H605" s="15" t="s">
        <v>69</v>
      </c>
      <c r="I605" s="16">
        <v>325053</v>
      </c>
      <c r="J605" s="16">
        <v>305355</v>
      </c>
      <c r="K605" s="16">
        <v>316657</v>
      </c>
      <c r="L605" s="17">
        <v>1596.3</v>
      </c>
      <c r="M605" s="17">
        <v>179.9</v>
      </c>
      <c r="N605" s="17">
        <f t="shared" si="27"/>
        <v>1416.3999999999999</v>
      </c>
      <c r="O605" s="17">
        <v>1262.0999999999999</v>
      </c>
      <c r="P605" s="17">
        <v>1359.4</v>
      </c>
      <c r="Q605" s="17">
        <v>797.1</v>
      </c>
      <c r="R605" s="17">
        <f t="shared" si="28"/>
        <v>619.29999999999984</v>
      </c>
      <c r="S605" s="17">
        <v>727.4</v>
      </c>
      <c r="T605" s="17">
        <f t="shared" si="29"/>
        <v>534.69999999999993</v>
      </c>
    </row>
    <row r="606" spans="1:20" x14ac:dyDescent="0.35">
      <c r="A606" s="14" t="s">
        <v>101</v>
      </c>
      <c r="B606" s="15" t="s">
        <v>102</v>
      </c>
      <c r="C606" s="15" t="s">
        <v>93</v>
      </c>
      <c r="D606" s="15" t="s">
        <v>94</v>
      </c>
      <c r="E606" s="15" t="s">
        <v>90</v>
      </c>
      <c r="F606" s="15" t="s">
        <v>67</v>
      </c>
      <c r="G606" s="15" t="s">
        <v>68</v>
      </c>
      <c r="H606" s="15" t="s">
        <v>70</v>
      </c>
      <c r="I606" s="16">
        <v>215054</v>
      </c>
      <c r="J606" s="16">
        <v>193756</v>
      </c>
      <c r="K606" s="16">
        <v>208989</v>
      </c>
      <c r="L606" s="17">
        <v>1219.3</v>
      </c>
      <c r="M606" s="17">
        <v>128.30000000000001</v>
      </c>
      <c r="N606" s="17">
        <f t="shared" si="27"/>
        <v>1091</v>
      </c>
      <c r="O606" s="17">
        <v>938.3</v>
      </c>
      <c r="P606" s="17">
        <v>1047.2</v>
      </c>
      <c r="Q606" s="17">
        <v>632</v>
      </c>
      <c r="R606" s="17">
        <f t="shared" si="28"/>
        <v>459</v>
      </c>
      <c r="S606" s="17">
        <v>547.6</v>
      </c>
      <c r="T606" s="17">
        <f t="shared" si="29"/>
        <v>390.69999999999993</v>
      </c>
    </row>
    <row r="607" spans="1:20" x14ac:dyDescent="0.35">
      <c r="A607" s="14" t="s">
        <v>101</v>
      </c>
      <c r="B607" s="15" t="s">
        <v>102</v>
      </c>
      <c r="C607" s="15" t="s">
        <v>93</v>
      </c>
      <c r="D607" s="15" t="s">
        <v>94</v>
      </c>
      <c r="E607" s="15" t="s">
        <v>90</v>
      </c>
      <c r="F607" s="15" t="s">
        <v>67</v>
      </c>
      <c r="G607" s="15" t="s">
        <v>68</v>
      </c>
      <c r="H607" s="15" t="s">
        <v>71</v>
      </c>
      <c r="I607" s="16">
        <v>333256</v>
      </c>
      <c r="J607" s="16">
        <v>311427</v>
      </c>
      <c r="K607" s="16">
        <v>322711</v>
      </c>
      <c r="L607" s="17">
        <v>2322.3000000000002</v>
      </c>
      <c r="M607" s="17">
        <v>232.4</v>
      </c>
      <c r="N607" s="17">
        <f t="shared" si="27"/>
        <v>2089.9</v>
      </c>
      <c r="O607" s="17">
        <v>1860.9</v>
      </c>
      <c r="P607" s="17">
        <v>2000.1</v>
      </c>
      <c r="Q607" s="17">
        <v>1274.2</v>
      </c>
      <c r="R607" s="17">
        <f t="shared" si="28"/>
        <v>815.7</v>
      </c>
      <c r="S607" s="17">
        <v>1162</v>
      </c>
      <c r="T607" s="17">
        <f t="shared" si="29"/>
        <v>698.90000000000009</v>
      </c>
    </row>
    <row r="608" spans="1:20" x14ac:dyDescent="0.35">
      <c r="A608" s="14" t="s">
        <v>101</v>
      </c>
      <c r="B608" s="15" t="s">
        <v>102</v>
      </c>
      <c r="C608" s="15" t="s">
        <v>93</v>
      </c>
      <c r="D608" s="15" t="s">
        <v>94</v>
      </c>
      <c r="E608" s="15" t="s">
        <v>90</v>
      </c>
      <c r="F608" s="15" t="s">
        <v>67</v>
      </c>
      <c r="G608" s="15" t="s">
        <v>68</v>
      </c>
      <c r="H608" s="15" t="s">
        <v>72</v>
      </c>
      <c r="I608" s="16">
        <v>88149</v>
      </c>
      <c r="J608" s="16">
        <v>80741</v>
      </c>
      <c r="K608" s="16">
        <v>86456</v>
      </c>
      <c r="L608" s="17">
        <v>845</v>
      </c>
      <c r="M608" s="17">
        <v>92.5</v>
      </c>
      <c r="N608" s="17">
        <f t="shared" si="27"/>
        <v>752.5</v>
      </c>
      <c r="O608" s="17">
        <v>651.1</v>
      </c>
      <c r="P608" s="17">
        <v>722.1</v>
      </c>
      <c r="Q608" s="17">
        <v>486.6</v>
      </c>
      <c r="R608" s="17">
        <f t="shared" si="28"/>
        <v>265.89999999999998</v>
      </c>
      <c r="S608" s="17">
        <v>430.1</v>
      </c>
      <c r="T608" s="17">
        <f t="shared" si="29"/>
        <v>221</v>
      </c>
    </row>
    <row r="609" spans="1:20" x14ac:dyDescent="0.35">
      <c r="A609" s="14" t="s">
        <v>101</v>
      </c>
      <c r="B609" s="15" t="s">
        <v>102</v>
      </c>
      <c r="C609" s="15" t="s">
        <v>93</v>
      </c>
      <c r="D609" s="15" t="s">
        <v>94</v>
      </c>
      <c r="E609" s="15" t="s">
        <v>90</v>
      </c>
      <c r="F609" s="15" t="s">
        <v>67</v>
      </c>
      <c r="G609" s="15" t="s">
        <v>73</v>
      </c>
      <c r="H609" s="15" t="s">
        <v>71</v>
      </c>
      <c r="I609" s="16">
        <v>79319</v>
      </c>
      <c r="J609" s="16">
        <v>66720</v>
      </c>
      <c r="K609" s="16">
        <v>77757</v>
      </c>
      <c r="L609" s="17">
        <v>564.79999999999995</v>
      </c>
      <c r="M609" s="17">
        <v>57.6</v>
      </c>
      <c r="N609" s="17">
        <f t="shared" si="27"/>
        <v>507.19999999999993</v>
      </c>
      <c r="O609" s="17">
        <v>404.2</v>
      </c>
      <c r="P609" s="17">
        <v>489.1</v>
      </c>
      <c r="Q609" s="17">
        <v>314.39999999999998</v>
      </c>
      <c r="R609" s="17">
        <f t="shared" si="28"/>
        <v>192.79999999999995</v>
      </c>
      <c r="S609" s="17">
        <v>252.6</v>
      </c>
      <c r="T609" s="17">
        <f t="shared" si="29"/>
        <v>151.6</v>
      </c>
    </row>
    <row r="610" spans="1:20" x14ac:dyDescent="0.35">
      <c r="A610" s="14" t="s">
        <v>101</v>
      </c>
      <c r="B610" s="15" t="s">
        <v>102</v>
      </c>
      <c r="C610" s="15" t="s">
        <v>93</v>
      </c>
      <c r="D610" s="15" t="s">
        <v>94</v>
      </c>
      <c r="E610" s="15" t="s">
        <v>90</v>
      </c>
      <c r="F610" s="15" t="s">
        <v>67</v>
      </c>
      <c r="G610" s="15" t="s">
        <v>73</v>
      </c>
      <c r="H610" s="15" t="s">
        <v>72</v>
      </c>
      <c r="I610" s="16">
        <v>28085</v>
      </c>
      <c r="J610" s="16">
        <v>23380</v>
      </c>
      <c r="K610" s="16">
        <v>27527</v>
      </c>
      <c r="L610" s="17">
        <v>271.2</v>
      </c>
      <c r="M610" s="17">
        <v>30.9</v>
      </c>
      <c r="N610" s="17">
        <f t="shared" si="27"/>
        <v>240.29999999999998</v>
      </c>
      <c r="O610" s="17">
        <v>189.2</v>
      </c>
      <c r="P610" s="17">
        <v>231.5</v>
      </c>
      <c r="Q610" s="17">
        <v>154.5</v>
      </c>
      <c r="R610" s="17">
        <f t="shared" si="28"/>
        <v>85.799999999999983</v>
      </c>
      <c r="S610" s="17">
        <v>123</v>
      </c>
      <c r="T610" s="17">
        <f t="shared" si="29"/>
        <v>66.199999999999989</v>
      </c>
    </row>
    <row r="611" spans="1:20" x14ac:dyDescent="0.35">
      <c r="A611" s="14" t="s">
        <v>101</v>
      </c>
      <c r="B611" s="15" t="s">
        <v>102</v>
      </c>
      <c r="C611" s="15" t="s">
        <v>93</v>
      </c>
      <c r="D611" s="15" t="s">
        <v>94</v>
      </c>
      <c r="E611" s="15" t="s">
        <v>90</v>
      </c>
      <c r="F611" s="15" t="s">
        <v>67</v>
      </c>
      <c r="G611" s="15" t="s">
        <v>74</v>
      </c>
      <c r="H611" s="15" t="s">
        <v>70</v>
      </c>
      <c r="I611" s="16">
        <v>107844</v>
      </c>
      <c r="J611" s="16">
        <v>98173</v>
      </c>
      <c r="K611" s="16">
        <v>104492</v>
      </c>
      <c r="L611" s="17">
        <v>567.70000000000005</v>
      </c>
      <c r="M611" s="17">
        <v>58.4</v>
      </c>
      <c r="N611" s="17">
        <f t="shared" si="27"/>
        <v>509.30000000000007</v>
      </c>
      <c r="O611" s="17">
        <v>443.4</v>
      </c>
      <c r="P611" s="17">
        <v>492.5</v>
      </c>
      <c r="Q611" s="17">
        <v>288.60000000000002</v>
      </c>
      <c r="R611" s="17">
        <f t="shared" si="28"/>
        <v>220.70000000000005</v>
      </c>
      <c r="S611" s="17">
        <v>256.60000000000002</v>
      </c>
      <c r="T611" s="17">
        <f t="shared" si="29"/>
        <v>186.79999999999995</v>
      </c>
    </row>
    <row r="612" spans="1:20" x14ac:dyDescent="0.35">
      <c r="A612" s="14" t="s">
        <v>101</v>
      </c>
      <c r="B612" s="15" t="s">
        <v>102</v>
      </c>
      <c r="C612" s="15" t="s">
        <v>93</v>
      </c>
      <c r="D612" s="15" t="s">
        <v>94</v>
      </c>
      <c r="E612" s="15" t="s">
        <v>90</v>
      </c>
      <c r="F612" s="15" t="s">
        <v>67</v>
      </c>
      <c r="G612" s="15" t="s">
        <v>74</v>
      </c>
      <c r="H612" s="15" t="s">
        <v>71</v>
      </c>
      <c r="I612" s="16">
        <v>139295</v>
      </c>
      <c r="J612" s="16">
        <v>128489</v>
      </c>
      <c r="K612" s="16">
        <v>135127</v>
      </c>
      <c r="L612" s="17">
        <v>944.7</v>
      </c>
      <c r="M612" s="17">
        <v>95</v>
      </c>
      <c r="N612" s="17">
        <f t="shared" si="27"/>
        <v>849.7</v>
      </c>
      <c r="O612" s="17">
        <v>744.2</v>
      </c>
      <c r="P612" s="17">
        <v>818.7</v>
      </c>
      <c r="Q612" s="17">
        <v>534</v>
      </c>
      <c r="R612" s="17">
        <f t="shared" si="28"/>
        <v>315.70000000000005</v>
      </c>
      <c r="S612" s="17">
        <v>470.8</v>
      </c>
      <c r="T612" s="17">
        <f t="shared" si="29"/>
        <v>273.40000000000003</v>
      </c>
    </row>
    <row r="613" spans="1:20" x14ac:dyDescent="0.35">
      <c r="A613" s="14" t="s">
        <v>101</v>
      </c>
      <c r="B613" s="15" t="s">
        <v>102</v>
      </c>
      <c r="C613" s="15" t="s">
        <v>93</v>
      </c>
      <c r="D613" s="15" t="s">
        <v>94</v>
      </c>
      <c r="E613" s="15" t="s">
        <v>90</v>
      </c>
      <c r="F613" s="15" t="s">
        <v>67</v>
      </c>
      <c r="G613" s="15" t="s">
        <v>75</v>
      </c>
      <c r="H613" s="15" t="s">
        <v>71</v>
      </c>
      <c r="I613" s="16">
        <v>110030</v>
      </c>
      <c r="J613" s="16">
        <v>102260</v>
      </c>
      <c r="K613" s="16">
        <v>106967</v>
      </c>
      <c r="L613" s="17">
        <v>749.2</v>
      </c>
      <c r="M613" s="17">
        <v>85.6</v>
      </c>
      <c r="N613" s="17">
        <f t="shared" si="27"/>
        <v>663.6</v>
      </c>
      <c r="O613" s="17">
        <v>588.79999999999995</v>
      </c>
      <c r="P613" s="17">
        <v>644.20000000000005</v>
      </c>
      <c r="Q613" s="17">
        <v>403</v>
      </c>
      <c r="R613" s="17">
        <f t="shared" si="28"/>
        <v>260.60000000000002</v>
      </c>
      <c r="S613" s="17">
        <v>360.5</v>
      </c>
      <c r="T613" s="17">
        <f t="shared" si="29"/>
        <v>228.29999999999995</v>
      </c>
    </row>
    <row r="614" spans="1:20" x14ac:dyDescent="0.35">
      <c r="A614" s="14" t="s">
        <v>101</v>
      </c>
      <c r="B614" s="15" t="s">
        <v>102</v>
      </c>
      <c r="C614" s="15" t="s">
        <v>93</v>
      </c>
      <c r="D614" s="15" t="s">
        <v>94</v>
      </c>
      <c r="E614" s="15" t="s">
        <v>90</v>
      </c>
      <c r="F614" s="15" t="s">
        <v>67</v>
      </c>
      <c r="G614" s="15" t="s">
        <v>76</v>
      </c>
      <c r="H614" s="15" t="s">
        <v>72</v>
      </c>
      <c r="I614" s="16">
        <v>23745</v>
      </c>
      <c r="J614" s="16">
        <v>20986</v>
      </c>
      <c r="K614" s="16">
        <v>23170</v>
      </c>
      <c r="L614" s="17">
        <v>278.2</v>
      </c>
      <c r="M614" s="17">
        <v>31.3</v>
      </c>
      <c r="N614" s="17">
        <f t="shared" si="27"/>
        <v>246.89999999999998</v>
      </c>
      <c r="O614" s="17">
        <v>206.4</v>
      </c>
      <c r="P614" s="17">
        <v>237.7</v>
      </c>
      <c r="Q614" s="17">
        <v>151.19999999999999</v>
      </c>
      <c r="R614" s="17">
        <f t="shared" si="28"/>
        <v>95.699999999999989</v>
      </c>
      <c r="S614" s="17">
        <v>129.4</v>
      </c>
      <c r="T614" s="17">
        <f t="shared" si="29"/>
        <v>77</v>
      </c>
    </row>
    <row r="615" spans="1:20" x14ac:dyDescent="0.35">
      <c r="A615" s="14" t="s">
        <v>101</v>
      </c>
      <c r="B615" s="15" t="s">
        <v>102</v>
      </c>
      <c r="C615" s="15" t="s">
        <v>93</v>
      </c>
      <c r="D615" s="15" t="s">
        <v>94</v>
      </c>
      <c r="E615" s="15" t="s">
        <v>90</v>
      </c>
      <c r="F615" s="15" t="s">
        <v>79</v>
      </c>
      <c r="G615" s="15" t="s">
        <v>95</v>
      </c>
      <c r="H615" s="15" t="s">
        <v>71</v>
      </c>
      <c r="I615" s="16">
        <v>110992</v>
      </c>
      <c r="J615" s="16">
        <v>98738</v>
      </c>
      <c r="K615" s="16">
        <v>108080</v>
      </c>
      <c r="L615" s="17">
        <v>476.3</v>
      </c>
      <c r="M615" s="17">
        <v>51.4</v>
      </c>
      <c r="N615" s="17">
        <f t="shared" si="27"/>
        <v>424.90000000000003</v>
      </c>
      <c r="O615" s="17">
        <v>356</v>
      </c>
      <c r="P615" s="17">
        <v>413.5</v>
      </c>
      <c r="Q615" s="17">
        <v>258.60000000000002</v>
      </c>
      <c r="R615" s="17">
        <f t="shared" si="28"/>
        <v>166.3</v>
      </c>
      <c r="S615" s="17">
        <v>219.3</v>
      </c>
      <c r="T615" s="17">
        <f t="shared" si="29"/>
        <v>136.69999999999999</v>
      </c>
    </row>
    <row r="616" spans="1:20" x14ac:dyDescent="0.35">
      <c r="A616" s="14" t="s">
        <v>101</v>
      </c>
      <c r="B616" s="15" t="s">
        <v>102</v>
      </c>
      <c r="C616" s="15" t="s">
        <v>93</v>
      </c>
      <c r="D616" s="15" t="s">
        <v>94</v>
      </c>
      <c r="E616" s="15" t="s">
        <v>90</v>
      </c>
      <c r="F616" s="15" t="s">
        <v>81</v>
      </c>
      <c r="G616" s="15" t="s">
        <v>82</v>
      </c>
      <c r="H616" s="15" t="s">
        <v>71</v>
      </c>
      <c r="I616" s="16">
        <v>32572</v>
      </c>
      <c r="J616" s="16">
        <v>29132</v>
      </c>
      <c r="K616" s="16">
        <v>31591</v>
      </c>
      <c r="L616" s="17">
        <v>303.8</v>
      </c>
      <c r="M616" s="17">
        <v>32.5</v>
      </c>
      <c r="N616" s="17">
        <f t="shared" si="27"/>
        <v>271.3</v>
      </c>
      <c r="O616" s="17">
        <v>230.6</v>
      </c>
      <c r="P616" s="17">
        <v>260</v>
      </c>
      <c r="Q616" s="17">
        <v>172</v>
      </c>
      <c r="R616" s="17">
        <f t="shared" si="28"/>
        <v>99.300000000000011</v>
      </c>
      <c r="S616" s="17">
        <v>148.5</v>
      </c>
      <c r="T616" s="17">
        <f t="shared" si="29"/>
        <v>82.1</v>
      </c>
    </row>
    <row r="617" spans="1:20" x14ac:dyDescent="0.35">
      <c r="A617" s="14" t="s">
        <v>101</v>
      </c>
      <c r="B617" s="15" t="s">
        <v>102</v>
      </c>
      <c r="C617" s="15" t="s">
        <v>93</v>
      </c>
      <c r="D617" s="15" t="s">
        <v>94</v>
      </c>
      <c r="E617" s="15" t="s">
        <v>90</v>
      </c>
      <c r="F617" s="15" t="s">
        <v>83</v>
      </c>
      <c r="G617" s="15" t="s">
        <v>84</v>
      </c>
      <c r="H617" s="15" t="s">
        <v>72</v>
      </c>
      <c r="I617" s="16">
        <v>18602</v>
      </c>
      <c r="J617" s="16">
        <v>14898</v>
      </c>
      <c r="K617" s="16">
        <v>18060</v>
      </c>
      <c r="L617" s="17">
        <v>526</v>
      </c>
      <c r="M617" s="17">
        <v>62.5</v>
      </c>
      <c r="N617" s="17">
        <f t="shared" si="27"/>
        <v>463.5</v>
      </c>
      <c r="O617" s="17">
        <v>353.2</v>
      </c>
      <c r="P617" s="17">
        <v>447.5</v>
      </c>
      <c r="Q617" s="17">
        <v>264.39999999999998</v>
      </c>
      <c r="R617" s="17">
        <f t="shared" si="28"/>
        <v>199.10000000000002</v>
      </c>
      <c r="S617" s="17">
        <v>206.6</v>
      </c>
      <c r="T617" s="17">
        <f t="shared" si="29"/>
        <v>146.6</v>
      </c>
    </row>
    <row r="618" spans="1:20" x14ac:dyDescent="0.35">
      <c r="A618" s="14" t="s">
        <v>101</v>
      </c>
      <c r="B618" s="15" t="s">
        <v>102</v>
      </c>
      <c r="C618" s="15" t="s">
        <v>93</v>
      </c>
      <c r="D618" s="15" t="s">
        <v>94</v>
      </c>
      <c r="E618" s="15" t="s">
        <v>91</v>
      </c>
      <c r="F618" s="15" t="s">
        <v>67</v>
      </c>
      <c r="G618" s="15" t="s">
        <v>68</v>
      </c>
      <c r="H618" s="15" t="s">
        <v>69</v>
      </c>
      <c r="I618" s="16">
        <v>204973</v>
      </c>
      <c r="J618" s="16">
        <v>184195</v>
      </c>
      <c r="K618" s="16">
        <v>198710</v>
      </c>
      <c r="L618" s="17">
        <v>1178.3</v>
      </c>
      <c r="M618" s="17">
        <v>70.400000000000006</v>
      </c>
      <c r="N618" s="17">
        <f t="shared" si="27"/>
        <v>1107.8999999999999</v>
      </c>
      <c r="O618" s="17">
        <v>946.6</v>
      </c>
      <c r="P618" s="17">
        <v>1068.4000000000001</v>
      </c>
      <c r="Q618" s="17">
        <v>593.1</v>
      </c>
      <c r="R618" s="17">
        <f t="shared" si="28"/>
        <v>514.79999999999984</v>
      </c>
      <c r="S618" s="17">
        <v>520.9</v>
      </c>
      <c r="T618" s="17">
        <f t="shared" si="29"/>
        <v>425.70000000000005</v>
      </c>
    </row>
    <row r="619" spans="1:20" x14ac:dyDescent="0.35">
      <c r="A619" s="14" t="s">
        <v>101</v>
      </c>
      <c r="B619" s="15" t="s">
        <v>102</v>
      </c>
      <c r="C619" s="15" t="s">
        <v>93</v>
      </c>
      <c r="D619" s="15" t="s">
        <v>94</v>
      </c>
      <c r="E619" s="15" t="s">
        <v>91</v>
      </c>
      <c r="F619" s="15" t="s">
        <v>67</v>
      </c>
      <c r="G619" s="15" t="s">
        <v>68</v>
      </c>
      <c r="H619" s="15" t="s">
        <v>70</v>
      </c>
      <c r="I619" s="16">
        <v>54447</v>
      </c>
      <c r="J619" s="16">
        <v>48095</v>
      </c>
      <c r="K619" s="16">
        <v>53511</v>
      </c>
      <c r="L619" s="17">
        <v>368.3</v>
      </c>
      <c r="M619" s="17">
        <v>20.7</v>
      </c>
      <c r="N619" s="17">
        <f t="shared" si="27"/>
        <v>347.6</v>
      </c>
      <c r="O619" s="17">
        <v>293.10000000000002</v>
      </c>
      <c r="P619" s="17">
        <v>336.6</v>
      </c>
      <c r="Q619" s="17">
        <v>201.2</v>
      </c>
      <c r="R619" s="17">
        <f t="shared" si="28"/>
        <v>146.40000000000003</v>
      </c>
      <c r="S619" s="17">
        <v>172.9</v>
      </c>
      <c r="T619" s="17">
        <f t="shared" si="29"/>
        <v>120.20000000000002</v>
      </c>
    </row>
    <row r="620" spans="1:20" x14ac:dyDescent="0.35">
      <c r="A620" s="14" t="s">
        <v>101</v>
      </c>
      <c r="B620" s="15" t="s">
        <v>102</v>
      </c>
      <c r="C620" s="15" t="s">
        <v>93</v>
      </c>
      <c r="D620" s="15" t="s">
        <v>94</v>
      </c>
      <c r="E620" s="15" t="s">
        <v>91</v>
      </c>
      <c r="F620" s="15" t="s">
        <v>67</v>
      </c>
      <c r="G620" s="15" t="s">
        <v>68</v>
      </c>
      <c r="H620" s="15" t="s">
        <v>71</v>
      </c>
      <c r="I620" s="16">
        <v>113577</v>
      </c>
      <c r="J620" s="16">
        <v>102047</v>
      </c>
      <c r="K620" s="16">
        <v>110667</v>
      </c>
      <c r="L620" s="17">
        <v>918</v>
      </c>
      <c r="M620" s="17">
        <v>45.6</v>
      </c>
      <c r="N620" s="17">
        <f t="shared" si="27"/>
        <v>872.4</v>
      </c>
      <c r="O620" s="17">
        <v>740</v>
      </c>
      <c r="P620" s="17">
        <v>840.1</v>
      </c>
      <c r="Q620" s="17">
        <v>543.29999999999995</v>
      </c>
      <c r="R620" s="17">
        <f t="shared" si="28"/>
        <v>329.1</v>
      </c>
      <c r="S620" s="17">
        <v>466.9</v>
      </c>
      <c r="T620" s="17">
        <f t="shared" si="29"/>
        <v>273.10000000000002</v>
      </c>
    </row>
    <row r="621" spans="1:20" x14ac:dyDescent="0.35">
      <c r="A621" s="14" t="s">
        <v>101</v>
      </c>
      <c r="B621" s="15" t="s">
        <v>102</v>
      </c>
      <c r="C621" s="15" t="s">
        <v>93</v>
      </c>
      <c r="D621" s="15" t="s">
        <v>94</v>
      </c>
      <c r="E621" s="15" t="s">
        <v>91</v>
      </c>
      <c r="F621" s="15" t="s">
        <v>67</v>
      </c>
      <c r="G621" s="15" t="s">
        <v>68</v>
      </c>
      <c r="H621" s="15" t="s">
        <v>72</v>
      </c>
      <c r="I621" s="16">
        <v>56562</v>
      </c>
      <c r="J621" s="16">
        <v>48861</v>
      </c>
      <c r="K621" s="16">
        <v>55507</v>
      </c>
      <c r="L621" s="17">
        <v>621.20000000000005</v>
      </c>
      <c r="M621" s="17">
        <v>28.7</v>
      </c>
      <c r="N621" s="17">
        <f t="shared" si="27"/>
        <v>592.5</v>
      </c>
      <c r="O621" s="17">
        <v>487.5</v>
      </c>
      <c r="P621" s="17">
        <v>575.5</v>
      </c>
      <c r="Q621" s="17">
        <v>387.2</v>
      </c>
      <c r="R621" s="17">
        <f t="shared" si="28"/>
        <v>205.3</v>
      </c>
      <c r="S621" s="17">
        <v>321.89999999999998</v>
      </c>
      <c r="T621" s="17">
        <f t="shared" si="29"/>
        <v>165.60000000000002</v>
      </c>
    </row>
    <row r="622" spans="1:20" x14ac:dyDescent="0.35">
      <c r="A622" s="14" t="s">
        <v>101</v>
      </c>
      <c r="B622" s="15" t="s">
        <v>102</v>
      </c>
      <c r="C622" s="15" t="s">
        <v>93</v>
      </c>
      <c r="D622" s="15" t="s">
        <v>94</v>
      </c>
      <c r="E622" s="15" t="s">
        <v>91</v>
      </c>
      <c r="F622" s="15" t="s">
        <v>67</v>
      </c>
      <c r="G622" s="15" t="s">
        <v>73</v>
      </c>
      <c r="H622" s="15" t="s">
        <v>71</v>
      </c>
      <c r="I622" s="16">
        <v>25176</v>
      </c>
      <c r="J622" s="16">
        <v>20443</v>
      </c>
      <c r="K622" s="16">
        <v>24465</v>
      </c>
      <c r="L622" s="17">
        <v>208.9</v>
      </c>
      <c r="M622" s="17">
        <v>10.8</v>
      </c>
      <c r="N622" s="17">
        <f t="shared" si="27"/>
        <v>198.1</v>
      </c>
      <c r="O622" s="17">
        <v>153</v>
      </c>
      <c r="P622" s="17">
        <v>190.7</v>
      </c>
      <c r="Q622" s="17">
        <v>121.4</v>
      </c>
      <c r="R622" s="17">
        <f t="shared" si="28"/>
        <v>76.699999999999989</v>
      </c>
      <c r="S622" s="17">
        <v>94.5</v>
      </c>
      <c r="T622" s="17">
        <f t="shared" si="29"/>
        <v>58.5</v>
      </c>
    </row>
    <row r="623" spans="1:20" x14ac:dyDescent="0.35">
      <c r="A623" s="14" t="s">
        <v>101</v>
      </c>
      <c r="B623" s="15" t="s">
        <v>102</v>
      </c>
      <c r="C623" s="15" t="s">
        <v>93</v>
      </c>
      <c r="D623" s="15" t="s">
        <v>94</v>
      </c>
      <c r="E623" s="15" t="s">
        <v>91</v>
      </c>
      <c r="F623" s="15" t="s">
        <v>67</v>
      </c>
      <c r="G623" s="15" t="s">
        <v>73</v>
      </c>
      <c r="H623" s="15" t="s">
        <v>72</v>
      </c>
      <c r="I623" s="16">
        <v>16256</v>
      </c>
      <c r="J623" s="16">
        <v>13134</v>
      </c>
      <c r="K623" s="16">
        <v>15959</v>
      </c>
      <c r="L623" s="17">
        <v>185.6</v>
      </c>
      <c r="M623" s="17">
        <v>10.6</v>
      </c>
      <c r="N623" s="17">
        <f t="shared" si="27"/>
        <v>175</v>
      </c>
      <c r="O623" s="17">
        <v>132.80000000000001</v>
      </c>
      <c r="P623" s="17">
        <v>167.6</v>
      </c>
      <c r="Q623" s="17">
        <v>114.6</v>
      </c>
      <c r="R623" s="17">
        <f t="shared" si="28"/>
        <v>60.400000000000006</v>
      </c>
      <c r="S623" s="17">
        <v>88</v>
      </c>
      <c r="T623" s="17">
        <f t="shared" si="29"/>
        <v>44.800000000000011</v>
      </c>
    </row>
    <row r="624" spans="1:20" x14ac:dyDescent="0.35">
      <c r="A624" s="14" t="s">
        <v>101</v>
      </c>
      <c r="B624" s="15" t="s">
        <v>102</v>
      </c>
      <c r="C624" s="15" t="s">
        <v>93</v>
      </c>
      <c r="D624" s="15" t="s">
        <v>94</v>
      </c>
      <c r="E624" s="15" t="s">
        <v>91</v>
      </c>
      <c r="F624" s="15" t="s">
        <v>67</v>
      </c>
      <c r="G624" s="15" t="s">
        <v>74</v>
      </c>
      <c r="H624" s="15" t="s">
        <v>70</v>
      </c>
      <c r="I624" s="16">
        <v>22830</v>
      </c>
      <c r="J624" s="16">
        <v>19872</v>
      </c>
      <c r="K624" s="16">
        <v>22363</v>
      </c>
      <c r="L624" s="17">
        <v>147.30000000000001</v>
      </c>
      <c r="M624" s="17">
        <v>6.6</v>
      </c>
      <c r="N624" s="17">
        <f t="shared" si="27"/>
        <v>140.70000000000002</v>
      </c>
      <c r="O624" s="17">
        <v>117.1</v>
      </c>
      <c r="P624" s="17">
        <v>137.19999999999999</v>
      </c>
      <c r="Q624" s="17">
        <v>78.900000000000006</v>
      </c>
      <c r="R624" s="17">
        <f t="shared" si="28"/>
        <v>61.800000000000011</v>
      </c>
      <c r="S624" s="17">
        <v>66.900000000000006</v>
      </c>
      <c r="T624" s="17">
        <f t="shared" si="29"/>
        <v>50.199999999999989</v>
      </c>
    </row>
    <row r="625" spans="1:20" x14ac:dyDescent="0.35">
      <c r="A625" s="14" t="s">
        <v>101</v>
      </c>
      <c r="B625" s="15" t="s">
        <v>102</v>
      </c>
      <c r="C625" s="15" t="s">
        <v>93</v>
      </c>
      <c r="D625" s="15" t="s">
        <v>94</v>
      </c>
      <c r="E625" s="15" t="s">
        <v>91</v>
      </c>
      <c r="F625" s="15" t="s">
        <v>67</v>
      </c>
      <c r="G625" s="15" t="s">
        <v>74</v>
      </c>
      <c r="H625" s="15" t="s">
        <v>71</v>
      </c>
      <c r="I625" s="16">
        <v>42294</v>
      </c>
      <c r="J625" s="16">
        <v>37513</v>
      </c>
      <c r="K625" s="16">
        <v>41141</v>
      </c>
      <c r="L625" s="17">
        <v>348</v>
      </c>
      <c r="M625" s="17">
        <v>19.399999999999999</v>
      </c>
      <c r="N625" s="17">
        <f t="shared" si="27"/>
        <v>328.6</v>
      </c>
      <c r="O625" s="17">
        <v>276.7</v>
      </c>
      <c r="P625" s="17">
        <v>315</v>
      </c>
      <c r="Q625" s="17">
        <v>205.9</v>
      </c>
      <c r="R625" s="17">
        <f t="shared" si="28"/>
        <v>122.70000000000002</v>
      </c>
      <c r="S625" s="17">
        <v>174.7</v>
      </c>
      <c r="T625" s="17">
        <f t="shared" si="29"/>
        <v>102</v>
      </c>
    </row>
    <row r="626" spans="1:20" x14ac:dyDescent="0.35">
      <c r="A626" s="14" t="s">
        <v>101</v>
      </c>
      <c r="B626" s="15" t="s">
        <v>102</v>
      </c>
      <c r="C626" s="15" t="s">
        <v>93</v>
      </c>
      <c r="D626" s="15" t="s">
        <v>94</v>
      </c>
      <c r="E626" s="15" t="s">
        <v>91</v>
      </c>
      <c r="F626" s="15" t="s">
        <v>67</v>
      </c>
      <c r="G626" s="15" t="s">
        <v>75</v>
      </c>
      <c r="H626" s="15" t="s">
        <v>71</v>
      </c>
      <c r="I626" s="16">
        <v>33843</v>
      </c>
      <c r="J626" s="16">
        <v>29560</v>
      </c>
      <c r="K626" s="16">
        <v>33203</v>
      </c>
      <c r="L626" s="17">
        <v>261.5</v>
      </c>
      <c r="M626" s="17">
        <v>11.8</v>
      </c>
      <c r="N626" s="17">
        <f t="shared" si="27"/>
        <v>249.7</v>
      </c>
      <c r="O626" s="17">
        <v>208.4</v>
      </c>
      <c r="P626" s="17">
        <v>240.5</v>
      </c>
      <c r="Q626" s="17">
        <v>154.9</v>
      </c>
      <c r="R626" s="17">
        <f t="shared" si="28"/>
        <v>94.799999999999983</v>
      </c>
      <c r="S626" s="17">
        <v>131.69999999999999</v>
      </c>
      <c r="T626" s="17">
        <f t="shared" si="29"/>
        <v>76.700000000000017</v>
      </c>
    </row>
    <row r="627" spans="1:20" x14ac:dyDescent="0.35">
      <c r="A627" s="14" t="s">
        <v>101</v>
      </c>
      <c r="B627" s="15" t="s">
        <v>102</v>
      </c>
      <c r="C627" s="15" t="s">
        <v>93</v>
      </c>
      <c r="D627" s="15" t="s">
        <v>94</v>
      </c>
      <c r="E627" s="15" t="s">
        <v>91</v>
      </c>
      <c r="F627" s="15" t="s">
        <v>67</v>
      </c>
      <c r="G627" s="15" t="s">
        <v>76</v>
      </c>
      <c r="H627" s="15" t="s">
        <v>72</v>
      </c>
      <c r="I627" s="16">
        <v>36243</v>
      </c>
      <c r="J627" s="16">
        <v>30758</v>
      </c>
      <c r="K627" s="16">
        <v>35548</v>
      </c>
      <c r="L627" s="17">
        <v>482.6</v>
      </c>
      <c r="M627" s="17">
        <v>21.1</v>
      </c>
      <c r="N627" s="17">
        <f t="shared" si="27"/>
        <v>461.5</v>
      </c>
      <c r="O627" s="17">
        <v>374.6</v>
      </c>
      <c r="P627" s="17">
        <v>448.5</v>
      </c>
      <c r="Q627" s="17">
        <v>280.7</v>
      </c>
      <c r="R627" s="17">
        <f t="shared" si="28"/>
        <v>180.8</v>
      </c>
      <c r="S627" s="17">
        <v>230.8</v>
      </c>
      <c r="T627" s="17">
        <f t="shared" si="29"/>
        <v>143.80000000000001</v>
      </c>
    </row>
    <row r="628" spans="1:20" x14ac:dyDescent="0.35">
      <c r="A628" s="14" t="s">
        <v>101</v>
      </c>
      <c r="B628" s="15" t="s">
        <v>102</v>
      </c>
      <c r="C628" s="15" t="s">
        <v>93</v>
      </c>
      <c r="D628" s="15" t="s">
        <v>94</v>
      </c>
      <c r="E628" s="15" t="s">
        <v>91</v>
      </c>
      <c r="F628" s="15" t="s">
        <v>79</v>
      </c>
      <c r="G628" s="15" t="s">
        <v>95</v>
      </c>
      <c r="H628" s="15" t="s">
        <v>71</v>
      </c>
      <c r="I628" s="16">
        <v>32886</v>
      </c>
      <c r="J628" s="16">
        <v>28755</v>
      </c>
      <c r="K628" s="16">
        <v>31952</v>
      </c>
      <c r="L628" s="17">
        <v>161</v>
      </c>
      <c r="M628" s="17">
        <v>7.8</v>
      </c>
      <c r="N628" s="17">
        <f t="shared" si="27"/>
        <v>153.19999999999999</v>
      </c>
      <c r="O628" s="17">
        <v>127.2</v>
      </c>
      <c r="P628" s="17">
        <v>147.80000000000001</v>
      </c>
      <c r="Q628" s="17">
        <v>93.2</v>
      </c>
      <c r="R628" s="17">
        <f t="shared" si="28"/>
        <v>59.999999999999986</v>
      </c>
      <c r="S628" s="17">
        <v>78.099999999999994</v>
      </c>
      <c r="T628" s="17">
        <f t="shared" si="29"/>
        <v>49.100000000000009</v>
      </c>
    </row>
    <row r="629" spans="1:20" x14ac:dyDescent="0.35">
      <c r="A629" s="14" t="s">
        <v>101</v>
      </c>
      <c r="B629" s="15" t="s">
        <v>102</v>
      </c>
      <c r="C629" s="15" t="s">
        <v>93</v>
      </c>
      <c r="D629" s="15" t="s">
        <v>94</v>
      </c>
      <c r="E629" s="15" t="s">
        <v>91</v>
      </c>
      <c r="F629" s="15" t="s">
        <v>81</v>
      </c>
      <c r="G629" s="15" t="s">
        <v>82</v>
      </c>
      <c r="H629" s="15" t="s">
        <v>71</v>
      </c>
      <c r="I629" s="16">
        <v>11788</v>
      </c>
      <c r="J629" s="16">
        <v>10086</v>
      </c>
      <c r="K629" s="16">
        <v>11573</v>
      </c>
      <c r="L629" s="17">
        <v>122.3</v>
      </c>
      <c r="M629" s="17">
        <v>5.7</v>
      </c>
      <c r="N629" s="17">
        <f t="shared" si="27"/>
        <v>116.6</v>
      </c>
      <c r="O629" s="17">
        <v>93.9</v>
      </c>
      <c r="P629" s="17">
        <v>111.9</v>
      </c>
      <c r="Q629" s="17">
        <v>73</v>
      </c>
      <c r="R629" s="17">
        <f t="shared" si="28"/>
        <v>43.599999999999994</v>
      </c>
      <c r="S629" s="17">
        <v>59.9</v>
      </c>
      <c r="T629" s="17">
        <f t="shared" si="29"/>
        <v>34.000000000000007</v>
      </c>
    </row>
    <row r="630" spans="1:20" x14ac:dyDescent="0.35">
      <c r="A630" s="14" t="s">
        <v>101</v>
      </c>
      <c r="B630" s="15" t="s">
        <v>102</v>
      </c>
      <c r="C630" s="15" t="s">
        <v>93</v>
      </c>
      <c r="D630" s="15" t="s">
        <v>94</v>
      </c>
      <c r="E630" s="15" t="s">
        <v>91</v>
      </c>
      <c r="F630" s="15" t="s">
        <v>83</v>
      </c>
      <c r="G630" s="15" t="s">
        <v>84</v>
      </c>
      <c r="H630" s="15" t="s">
        <v>72</v>
      </c>
      <c r="I630" s="16">
        <v>10433</v>
      </c>
      <c r="J630" s="16">
        <v>8038</v>
      </c>
      <c r="K630" s="16">
        <v>10244</v>
      </c>
      <c r="L630" s="17">
        <v>337.4</v>
      </c>
      <c r="M630" s="17">
        <v>16.100000000000001</v>
      </c>
      <c r="N630" s="17">
        <f t="shared" si="27"/>
        <v>321.29999999999995</v>
      </c>
      <c r="O630" s="17">
        <v>234.9</v>
      </c>
      <c r="P630" s="17">
        <v>308.3</v>
      </c>
      <c r="Q630" s="17">
        <v>183.4</v>
      </c>
      <c r="R630" s="17">
        <f t="shared" si="28"/>
        <v>137.89999999999995</v>
      </c>
      <c r="S630" s="17">
        <v>136.5</v>
      </c>
      <c r="T630" s="17">
        <f t="shared" si="29"/>
        <v>98.4</v>
      </c>
    </row>
    <row r="631" spans="1:20" x14ac:dyDescent="0.35">
      <c r="A631" s="14" t="s">
        <v>101</v>
      </c>
      <c r="B631" s="15" t="s">
        <v>102</v>
      </c>
      <c r="C631" s="15" t="s">
        <v>93</v>
      </c>
      <c r="D631" s="15" t="s">
        <v>94</v>
      </c>
      <c r="E631" s="15" t="s">
        <v>92</v>
      </c>
      <c r="F631" s="15" t="s">
        <v>67</v>
      </c>
      <c r="G631" s="15" t="s">
        <v>68</v>
      </c>
      <c r="H631" s="15" t="s">
        <v>69</v>
      </c>
      <c r="I631" s="16">
        <v>205483</v>
      </c>
      <c r="J631" s="16">
        <v>156295</v>
      </c>
      <c r="K631" s="16">
        <v>199730</v>
      </c>
      <c r="L631" s="17">
        <v>1047.7</v>
      </c>
      <c r="M631" s="17">
        <v>93.8</v>
      </c>
      <c r="N631" s="17">
        <f t="shared" si="27"/>
        <v>953.90000000000009</v>
      </c>
      <c r="O631" s="17">
        <v>693.5</v>
      </c>
      <c r="P631" s="17">
        <v>917.2</v>
      </c>
      <c r="Q631" s="17">
        <v>536.20000000000005</v>
      </c>
      <c r="R631" s="17">
        <f t="shared" si="28"/>
        <v>417.70000000000005</v>
      </c>
      <c r="S631" s="17">
        <v>397.7</v>
      </c>
      <c r="T631" s="17">
        <f t="shared" si="29"/>
        <v>295.8</v>
      </c>
    </row>
    <row r="632" spans="1:20" x14ac:dyDescent="0.35">
      <c r="A632" s="14" t="s">
        <v>101</v>
      </c>
      <c r="B632" s="15" t="s">
        <v>102</v>
      </c>
      <c r="C632" s="15" t="s">
        <v>93</v>
      </c>
      <c r="D632" s="15" t="s">
        <v>94</v>
      </c>
      <c r="E632" s="15" t="s">
        <v>92</v>
      </c>
      <c r="F632" s="15" t="s">
        <v>67</v>
      </c>
      <c r="G632" s="15" t="s">
        <v>68</v>
      </c>
      <c r="H632" s="15" t="s">
        <v>70</v>
      </c>
      <c r="I632" s="16">
        <v>165898</v>
      </c>
      <c r="J632" s="16">
        <v>124539</v>
      </c>
      <c r="K632" s="16">
        <v>162077</v>
      </c>
      <c r="L632" s="17">
        <v>1000.4</v>
      </c>
      <c r="M632" s="17">
        <v>73.599999999999994</v>
      </c>
      <c r="N632" s="17">
        <f t="shared" si="27"/>
        <v>926.8</v>
      </c>
      <c r="O632" s="17">
        <v>661.5</v>
      </c>
      <c r="P632" s="17">
        <v>901.9</v>
      </c>
      <c r="Q632" s="17">
        <v>531.29999999999995</v>
      </c>
      <c r="R632" s="17">
        <f t="shared" si="28"/>
        <v>395.5</v>
      </c>
      <c r="S632" s="17">
        <v>382.8</v>
      </c>
      <c r="T632" s="17">
        <f t="shared" si="29"/>
        <v>278.7</v>
      </c>
    </row>
    <row r="633" spans="1:20" x14ac:dyDescent="0.35">
      <c r="A633" s="14" t="s">
        <v>101</v>
      </c>
      <c r="B633" s="15" t="s">
        <v>102</v>
      </c>
      <c r="C633" s="15" t="s">
        <v>93</v>
      </c>
      <c r="D633" s="15" t="s">
        <v>94</v>
      </c>
      <c r="E633" s="15" t="s">
        <v>92</v>
      </c>
      <c r="F633" s="15" t="s">
        <v>67</v>
      </c>
      <c r="G633" s="15" t="s">
        <v>68</v>
      </c>
      <c r="H633" s="15" t="s">
        <v>71</v>
      </c>
      <c r="I633" s="16">
        <v>190643</v>
      </c>
      <c r="J633" s="16">
        <v>144205</v>
      </c>
      <c r="K633" s="16">
        <v>186855</v>
      </c>
      <c r="L633" s="17">
        <v>1422</v>
      </c>
      <c r="M633" s="17">
        <v>100.2</v>
      </c>
      <c r="N633" s="17">
        <f t="shared" si="27"/>
        <v>1321.8</v>
      </c>
      <c r="O633" s="17">
        <v>952.4</v>
      </c>
      <c r="P633" s="17">
        <v>1273.3</v>
      </c>
      <c r="Q633" s="17">
        <v>831.3</v>
      </c>
      <c r="R633" s="17">
        <f t="shared" si="28"/>
        <v>490.5</v>
      </c>
      <c r="S633" s="17">
        <v>605</v>
      </c>
      <c r="T633" s="17">
        <f t="shared" si="29"/>
        <v>347.4</v>
      </c>
    </row>
    <row r="634" spans="1:20" x14ac:dyDescent="0.35">
      <c r="A634" s="14" t="s">
        <v>101</v>
      </c>
      <c r="B634" s="15" t="s">
        <v>102</v>
      </c>
      <c r="C634" s="15" t="s">
        <v>93</v>
      </c>
      <c r="D634" s="15" t="s">
        <v>94</v>
      </c>
      <c r="E634" s="15" t="s">
        <v>92</v>
      </c>
      <c r="F634" s="15" t="s">
        <v>67</v>
      </c>
      <c r="G634" s="15" t="s">
        <v>68</v>
      </c>
      <c r="H634" s="15" t="s">
        <v>72</v>
      </c>
      <c r="I634" s="16">
        <v>53206</v>
      </c>
      <c r="J634" s="16">
        <v>40458</v>
      </c>
      <c r="K634" s="16">
        <v>51743</v>
      </c>
      <c r="L634" s="17">
        <v>543</v>
      </c>
      <c r="M634" s="17">
        <v>47.7</v>
      </c>
      <c r="N634" s="17">
        <f t="shared" si="27"/>
        <v>495.3</v>
      </c>
      <c r="O634" s="17">
        <v>360.2</v>
      </c>
      <c r="P634" s="17">
        <v>480.9</v>
      </c>
      <c r="Q634" s="17">
        <v>310.8</v>
      </c>
      <c r="R634" s="17">
        <f t="shared" si="28"/>
        <v>184.5</v>
      </c>
      <c r="S634" s="17">
        <v>228</v>
      </c>
      <c r="T634" s="17">
        <f t="shared" si="29"/>
        <v>132.19999999999999</v>
      </c>
    </row>
    <row r="635" spans="1:20" x14ac:dyDescent="0.35">
      <c r="A635" s="14" t="s">
        <v>101</v>
      </c>
      <c r="B635" s="15" t="s">
        <v>102</v>
      </c>
      <c r="C635" s="15" t="s">
        <v>93</v>
      </c>
      <c r="D635" s="15" t="s">
        <v>94</v>
      </c>
      <c r="E635" s="15" t="s">
        <v>92</v>
      </c>
      <c r="F635" s="15" t="s">
        <v>67</v>
      </c>
      <c r="G635" s="15" t="s">
        <v>73</v>
      </c>
      <c r="H635" s="15" t="s">
        <v>71</v>
      </c>
      <c r="I635" s="16">
        <v>47852</v>
      </c>
      <c r="J635" s="16">
        <v>33583</v>
      </c>
      <c r="K635" s="16">
        <v>46909</v>
      </c>
      <c r="L635" s="17">
        <v>370.5</v>
      </c>
      <c r="M635" s="17">
        <v>33.200000000000003</v>
      </c>
      <c r="N635" s="17">
        <f t="shared" si="27"/>
        <v>337.3</v>
      </c>
      <c r="O635" s="17">
        <v>225</v>
      </c>
      <c r="P635" s="17">
        <v>328</v>
      </c>
      <c r="Q635" s="17">
        <v>214</v>
      </c>
      <c r="R635" s="17">
        <f t="shared" si="28"/>
        <v>123.30000000000001</v>
      </c>
      <c r="S635" s="17">
        <v>145</v>
      </c>
      <c r="T635" s="17">
        <f t="shared" si="29"/>
        <v>80</v>
      </c>
    </row>
    <row r="636" spans="1:20" x14ac:dyDescent="0.35">
      <c r="A636" s="14" t="s">
        <v>101</v>
      </c>
      <c r="B636" s="15" t="s">
        <v>102</v>
      </c>
      <c r="C636" s="15" t="s">
        <v>93</v>
      </c>
      <c r="D636" s="15" t="s">
        <v>94</v>
      </c>
      <c r="E636" s="15" t="s">
        <v>92</v>
      </c>
      <c r="F636" s="15" t="s">
        <v>67</v>
      </c>
      <c r="G636" s="15" t="s">
        <v>73</v>
      </c>
      <c r="H636" s="15" t="s">
        <v>72</v>
      </c>
      <c r="I636" s="16">
        <v>16941</v>
      </c>
      <c r="J636" s="16">
        <v>11876</v>
      </c>
      <c r="K636" s="16">
        <v>16598</v>
      </c>
      <c r="L636" s="17">
        <v>170.9</v>
      </c>
      <c r="M636" s="17">
        <v>13.3</v>
      </c>
      <c r="N636" s="17">
        <f t="shared" si="27"/>
        <v>157.6</v>
      </c>
      <c r="O636" s="17">
        <v>105.2</v>
      </c>
      <c r="P636" s="17">
        <v>152.19999999999999</v>
      </c>
      <c r="Q636" s="17">
        <v>101.7</v>
      </c>
      <c r="R636" s="17">
        <f t="shared" si="28"/>
        <v>55.899999999999991</v>
      </c>
      <c r="S636" s="17">
        <v>68.900000000000006</v>
      </c>
      <c r="T636" s="17">
        <f t="shared" si="29"/>
        <v>36.299999999999997</v>
      </c>
    </row>
    <row r="637" spans="1:20" x14ac:dyDescent="0.35">
      <c r="A637" s="14" t="s">
        <v>101</v>
      </c>
      <c r="B637" s="15" t="s">
        <v>102</v>
      </c>
      <c r="C637" s="15" t="s">
        <v>93</v>
      </c>
      <c r="D637" s="15" t="s">
        <v>94</v>
      </c>
      <c r="E637" s="15" t="s">
        <v>92</v>
      </c>
      <c r="F637" s="15" t="s">
        <v>67</v>
      </c>
      <c r="G637" s="15" t="s">
        <v>74</v>
      </c>
      <c r="H637" s="15" t="s">
        <v>70</v>
      </c>
      <c r="I637" s="16">
        <v>71269</v>
      </c>
      <c r="J637" s="16">
        <v>53423</v>
      </c>
      <c r="K637" s="16">
        <v>69843</v>
      </c>
      <c r="L637" s="17">
        <v>421.3</v>
      </c>
      <c r="M637" s="17">
        <v>36.4</v>
      </c>
      <c r="N637" s="17">
        <f t="shared" si="27"/>
        <v>384.90000000000003</v>
      </c>
      <c r="O637" s="17">
        <v>272.8</v>
      </c>
      <c r="P637" s="17">
        <v>372.7</v>
      </c>
      <c r="Q637" s="17">
        <v>217.6</v>
      </c>
      <c r="R637" s="17">
        <f t="shared" si="28"/>
        <v>167.30000000000004</v>
      </c>
      <c r="S637" s="17">
        <v>156.30000000000001</v>
      </c>
      <c r="T637" s="17">
        <f t="shared" si="29"/>
        <v>116.5</v>
      </c>
    </row>
    <row r="638" spans="1:20" x14ac:dyDescent="0.35">
      <c r="A638" s="14" t="s">
        <v>101</v>
      </c>
      <c r="B638" s="15" t="s">
        <v>102</v>
      </c>
      <c r="C638" s="15" t="s">
        <v>93</v>
      </c>
      <c r="D638" s="15" t="s">
        <v>94</v>
      </c>
      <c r="E638" s="15" t="s">
        <v>92</v>
      </c>
      <c r="F638" s="15" t="s">
        <v>67</v>
      </c>
      <c r="G638" s="15" t="s">
        <v>74</v>
      </c>
      <c r="H638" s="15" t="s">
        <v>71</v>
      </c>
      <c r="I638" s="16">
        <v>87608</v>
      </c>
      <c r="J638" s="16">
        <v>66070</v>
      </c>
      <c r="K638" s="16">
        <v>85944</v>
      </c>
      <c r="L638" s="17">
        <v>647</v>
      </c>
      <c r="M638" s="17">
        <v>57.3</v>
      </c>
      <c r="N638" s="17">
        <f t="shared" si="27"/>
        <v>589.70000000000005</v>
      </c>
      <c r="O638" s="17">
        <v>418.9</v>
      </c>
      <c r="P638" s="17">
        <v>567.6</v>
      </c>
      <c r="Q638" s="17">
        <v>373.4</v>
      </c>
      <c r="R638" s="17">
        <f t="shared" si="28"/>
        <v>216.30000000000007</v>
      </c>
      <c r="S638" s="17">
        <v>268.5</v>
      </c>
      <c r="T638" s="17">
        <f t="shared" si="29"/>
        <v>150.39999999999998</v>
      </c>
    </row>
    <row r="639" spans="1:20" x14ac:dyDescent="0.35">
      <c r="A639" s="14" t="s">
        <v>101</v>
      </c>
      <c r="B639" s="15" t="s">
        <v>102</v>
      </c>
      <c r="C639" s="15" t="s">
        <v>93</v>
      </c>
      <c r="D639" s="15" t="s">
        <v>94</v>
      </c>
      <c r="E639" s="15" t="s">
        <v>92</v>
      </c>
      <c r="F639" s="15" t="s">
        <v>67</v>
      </c>
      <c r="G639" s="15" t="s">
        <v>75</v>
      </c>
      <c r="H639" s="15" t="s">
        <v>71</v>
      </c>
      <c r="I639" s="16">
        <v>65447</v>
      </c>
      <c r="J639" s="16">
        <v>49428</v>
      </c>
      <c r="K639" s="16">
        <v>64125</v>
      </c>
      <c r="L639" s="17">
        <v>481.6</v>
      </c>
      <c r="M639" s="17">
        <v>36</v>
      </c>
      <c r="N639" s="17">
        <f t="shared" si="27"/>
        <v>445.6</v>
      </c>
      <c r="O639" s="17">
        <v>317.5</v>
      </c>
      <c r="P639" s="17">
        <v>434.6</v>
      </c>
      <c r="Q639" s="17">
        <v>275.5</v>
      </c>
      <c r="R639" s="17">
        <f t="shared" si="28"/>
        <v>170.10000000000002</v>
      </c>
      <c r="S639" s="17">
        <v>199.3</v>
      </c>
      <c r="T639" s="17">
        <f t="shared" si="29"/>
        <v>118.19999999999999</v>
      </c>
    </row>
    <row r="640" spans="1:20" x14ac:dyDescent="0.35">
      <c r="A640" s="14" t="s">
        <v>101</v>
      </c>
      <c r="B640" s="15" t="s">
        <v>102</v>
      </c>
      <c r="C640" s="15" t="s">
        <v>93</v>
      </c>
      <c r="D640" s="15" t="s">
        <v>94</v>
      </c>
      <c r="E640" s="15" t="s">
        <v>92</v>
      </c>
      <c r="F640" s="15" t="s">
        <v>67</v>
      </c>
      <c r="G640" s="15" t="s">
        <v>76</v>
      </c>
      <c r="H640" s="15" t="s">
        <v>72</v>
      </c>
      <c r="I640" s="16">
        <v>13478</v>
      </c>
      <c r="J640" s="16">
        <v>9950</v>
      </c>
      <c r="K640" s="16">
        <v>13062</v>
      </c>
      <c r="L640" s="17">
        <v>168.3</v>
      </c>
      <c r="M640" s="17">
        <v>12.6</v>
      </c>
      <c r="N640" s="17">
        <f t="shared" si="27"/>
        <v>155.70000000000002</v>
      </c>
      <c r="O640" s="17">
        <v>109.3</v>
      </c>
      <c r="P640" s="17">
        <v>149.6</v>
      </c>
      <c r="Q640" s="17">
        <v>96.8</v>
      </c>
      <c r="R640" s="17">
        <f t="shared" si="28"/>
        <v>58.90000000000002</v>
      </c>
      <c r="S640" s="17">
        <v>69.099999999999994</v>
      </c>
      <c r="T640" s="17">
        <f t="shared" si="29"/>
        <v>40.200000000000003</v>
      </c>
    </row>
    <row r="641" spans="1:20" x14ac:dyDescent="0.35">
      <c r="A641" s="14" t="s">
        <v>101</v>
      </c>
      <c r="B641" s="15" t="s">
        <v>102</v>
      </c>
      <c r="C641" s="15" t="s">
        <v>93</v>
      </c>
      <c r="D641" s="15" t="s">
        <v>94</v>
      </c>
      <c r="E641" s="15" t="s">
        <v>92</v>
      </c>
      <c r="F641" s="15" t="s">
        <v>79</v>
      </c>
      <c r="G641" s="15" t="s">
        <v>95</v>
      </c>
      <c r="H641" s="15" t="s">
        <v>71</v>
      </c>
      <c r="I641" s="16">
        <v>60559</v>
      </c>
      <c r="J641" s="16">
        <v>44820</v>
      </c>
      <c r="K641" s="16">
        <v>59078</v>
      </c>
      <c r="L641" s="17">
        <v>268.8</v>
      </c>
      <c r="M641" s="17">
        <v>22.5</v>
      </c>
      <c r="N641" s="17">
        <f t="shared" si="27"/>
        <v>246.3</v>
      </c>
      <c r="O641" s="17">
        <v>172.9</v>
      </c>
      <c r="P641" s="17">
        <v>240.1</v>
      </c>
      <c r="Q641" s="17">
        <v>145.5</v>
      </c>
      <c r="R641" s="17">
        <f t="shared" si="28"/>
        <v>100.80000000000001</v>
      </c>
      <c r="S641" s="17">
        <v>104.6</v>
      </c>
      <c r="T641" s="17">
        <f t="shared" si="29"/>
        <v>68.300000000000011</v>
      </c>
    </row>
    <row r="642" spans="1:20" x14ac:dyDescent="0.35">
      <c r="A642" s="14" t="s">
        <v>101</v>
      </c>
      <c r="B642" s="15" t="s">
        <v>102</v>
      </c>
      <c r="C642" s="15" t="s">
        <v>93</v>
      </c>
      <c r="D642" s="15" t="s">
        <v>94</v>
      </c>
      <c r="E642" s="15" t="s">
        <v>92</v>
      </c>
      <c r="F642" s="15" t="s">
        <v>81</v>
      </c>
      <c r="G642" s="15" t="s">
        <v>82</v>
      </c>
      <c r="H642" s="15" t="s">
        <v>71</v>
      </c>
      <c r="I642" s="16">
        <v>22162</v>
      </c>
      <c r="J642" s="16">
        <v>16292</v>
      </c>
      <c r="K642" s="16">
        <v>21728</v>
      </c>
      <c r="L642" s="17">
        <v>219.6</v>
      </c>
      <c r="M642" s="17">
        <v>18.3</v>
      </c>
      <c r="N642" s="17">
        <f t="shared" si="27"/>
        <v>201.29999999999998</v>
      </c>
      <c r="O642" s="17">
        <v>139.6</v>
      </c>
      <c r="P642" s="17">
        <v>193.6</v>
      </c>
      <c r="Q642" s="17">
        <v>122.2</v>
      </c>
      <c r="R642" s="17">
        <f t="shared" si="28"/>
        <v>79.09999999999998</v>
      </c>
      <c r="S642" s="17">
        <v>86.6</v>
      </c>
      <c r="T642" s="17">
        <f t="shared" si="29"/>
        <v>53</v>
      </c>
    </row>
    <row r="643" spans="1:20" x14ac:dyDescent="0.35">
      <c r="A643" s="14" t="s">
        <v>101</v>
      </c>
      <c r="B643" s="15" t="s">
        <v>102</v>
      </c>
      <c r="C643" s="15" t="s">
        <v>93</v>
      </c>
      <c r="D643" s="15" t="s">
        <v>94</v>
      </c>
      <c r="E643" s="15" t="s">
        <v>92</v>
      </c>
      <c r="F643" s="15" t="s">
        <v>83</v>
      </c>
      <c r="G643" s="15" t="s">
        <v>84</v>
      </c>
      <c r="H643" s="15" t="s">
        <v>72</v>
      </c>
      <c r="I643" s="16">
        <v>9462</v>
      </c>
      <c r="J643" s="16">
        <v>6393</v>
      </c>
      <c r="K643" s="16">
        <v>9167</v>
      </c>
      <c r="L643" s="17">
        <v>290.2</v>
      </c>
      <c r="M643" s="17">
        <v>23.7</v>
      </c>
      <c r="N643" s="17">
        <f t="shared" si="27"/>
        <v>266.5</v>
      </c>
      <c r="O643" s="17">
        <v>171.6</v>
      </c>
      <c r="P643" s="17">
        <v>255.7</v>
      </c>
      <c r="Q643" s="17">
        <v>156</v>
      </c>
      <c r="R643" s="17">
        <f t="shared" si="28"/>
        <v>110.5</v>
      </c>
      <c r="S643" s="17">
        <v>102.3</v>
      </c>
      <c r="T643" s="17">
        <f t="shared" si="29"/>
        <v>69.3</v>
      </c>
    </row>
    <row r="644" spans="1:20" x14ac:dyDescent="0.35">
      <c r="A644" s="14" t="s">
        <v>101</v>
      </c>
      <c r="B644" s="15" t="s">
        <v>102</v>
      </c>
      <c r="C644" s="15" t="s">
        <v>93</v>
      </c>
      <c r="D644" s="15" t="s">
        <v>96</v>
      </c>
      <c r="E644" s="15" t="s">
        <v>66</v>
      </c>
      <c r="F644" s="15" t="s">
        <v>67</v>
      </c>
      <c r="G644" s="15" t="s">
        <v>68</v>
      </c>
      <c r="H644" s="15" t="s">
        <v>69</v>
      </c>
      <c r="I644" s="16">
        <v>121274</v>
      </c>
      <c r="J644" s="16">
        <v>106776</v>
      </c>
      <c r="K644" s="16">
        <v>117053</v>
      </c>
      <c r="L644" s="17">
        <v>521.4</v>
      </c>
      <c r="M644" s="17">
        <v>77.3</v>
      </c>
      <c r="N644" s="17">
        <f t="shared" ref="N644:N707" si="30">L644-M644</f>
        <v>444.09999999999997</v>
      </c>
      <c r="O644" s="17">
        <v>362.7</v>
      </c>
      <c r="P644" s="17">
        <v>428.6</v>
      </c>
      <c r="Q644" s="17">
        <v>247.6</v>
      </c>
      <c r="R644" s="17">
        <f t="shared" ref="R644:R707" si="31">N644-Q644</f>
        <v>196.49999999999997</v>
      </c>
      <c r="S644" s="17">
        <v>207.5</v>
      </c>
      <c r="T644" s="17">
        <f t="shared" ref="T644:T707" si="32">O644-S644</f>
        <v>155.19999999999999</v>
      </c>
    </row>
    <row r="645" spans="1:20" x14ac:dyDescent="0.35">
      <c r="A645" s="14" t="s">
        <v>101</v>
      </c>
      <c r="B645" s="15" t="s">
        <v>102</v>
      </c>
      <c r="C645" s="15" t="s">
        <v>93</v>
      </c>
      <c r="D645" s="15" t="s">
        <v>96</v>
      </c>
      <c r="E645" s="15" t="s">
        <v>66</v>
      </c>
      <c r="F645" s="15" t="s">
        <v>67</v>
      </c>
      <c r="G645" s="15" t="s">
        <v>68</v>
      </c>
      <c r="H645" s="15" t="s">
        <v>70</v>
      </c>
      <c r="I645" s="16">
        <v>175543</v>
      </c>
      <c r="J645" s="16">
        <v>152179</v>
      </c>
      <c r="K645" s="16">
        <v>168928</v>
      </c>
      <c r="L645" s="17">
        <v>869.8</v>
      </c>
      <c r="M645" s="17">
        <v>128</v>
      </c>
      <c r="N645" s="17">
        <f t="shared" si="30"/>
        <v>741.8</v>
      </c>
      <c r="O645" s="17">
        <v>601</v>
      </c>
      <c r="P645" s="17">
        <v>709.1</v>
      </c>
      <c r="Q645" s="17">
        <v>427.6</v>
      </c>
      <c r="R645" s="17">
        <f t="shared" si="31"/>
        <v>314.19999999999993</v>
      </c>
      <c r="S645" s="17">
        <v>351.3</v>
      </c>
      <c r="T645" s="17">
        <f t="shared" si="32"/>
        <v>249.7</v>
      </c>
    </row>
    <row r="646" spans="1:20" x14ac:dyDescent="0.35">
      <c r="A646" s="14" t="s">
        <v>101</v>
      </c>
      <c r="B646" s="15" t="s">
        <v>102</v>
      </c>
      <c r="C646" s="15" t="s">
        <v>93</v>
      </c>
      <c r="D646" s="15" t="s">
        <v>96</v>
      </c>
      <c r="E646" s="15" t="s">
        <v>66</v>
      </c>
      <c r="F646" s="15" t="s">
        <v>67</v>
      </c>
      <c r="G646" s="15" t="s">
        <v>68</v>
      </c>
      <c r="H646" s="15" t="s">
        <v>71</v>
      </c>
      <c r="I646" s="16">
        <v>441777</v>
      </c>
      <c r="J646" s="16">
        <v>386062</v>
      </c>
      <c r="K646" s="16">
        <v>427682</v>
      </c>
      <c r="L646" s="17">
        <v>2791.5</v>
      </c>
      <c r="M646" s="17">
        <v>363.4</v>
      </c>
      <c r="N646" s="17">
        <f t="shared" si="30"/>
        <v>2428.1</v>
      </c>
      <c r="O646" s="17">
        <v>1976.4</v>
      </c>
      <c r="P646" s="17">
        <v>2344.8000000000002</v>
      </c>
      <c r="Q646" s="17">
        <v>1473.9</v>
      </c>
      <c r="R646" s="17">
        <f t="shared" si="31"/>
        <v>954.19999999999982</v>
      </c>
      <c r="S646" s="17">
        <v>1224.3</v>
      </c>
      <c r="T646" s="17">
        <f t="shared" si="32"/>
        <v>752.10000000000014</v>
      </c>
    </row>
    <row r="647" spans="1:20" x14ac:dyDescent="0.35">
      <c r="A647" s="14" t="s">
        <v>101</v>
      </c>
      <c r="B647" s="15" t="s">
        <v>102</v>
      </c>
      <c r="C647" s="15" t="s">
        <v>93</v>
      </c>
      <c r="D647" s="15" t="s">
        <v>96</v>
      </c>
      <c r="E647" s="15" t="s">
        <v>66</v>
      </c>
      <c r="F647" s="15" t="s">
        <v>67</v>
      </c>
      <c r="G647" s="15" t="s">
        <v>68</v>
      </c>
      <c r="H647" s="15" t="s">
        <v>72</v>
      </c>
      <c r="I647" s="16">
        <v>162239</v>
      </c>
      <c r="J647" s="16">
        <v>138357</v>
      </c>
      <c r="K647" s="16">
        <v>157397</v>
      </c>
      <c r="L647" s="17">
        <v>1387.9</v>
      </c>
      <c r="M647" s="17">
        <v>186.7</v>
      </c>
      <c r="N647" s="17">
        <f t="shared" si="30"/>
        <v>1201.2</v>
      </c>
      <c r="O647" s="17">
        <v>943.2</v>
      </c>
      <c r="P647" s="17">
        <v>1144.3</v>
      </c>
      <c r="Q647" s="17">
        <v>756.1</v>
      </c>
      <c r="R647" s="17">
        <f t="shared" si="31"/>
        <v>445.1</v>
      </c>
      <c r="S647" s="17">
        <v>598.5</v>
      </c>
      <c r="T647" s="17">
        <f t="shared" si="32"/>
        <v>344.70000000000005</v>
      </c>
    </row>
    <row r="648" spans="1:20" x14ac:dyDescent="0.35">
      <c r="A648" s="14" t="s">
        <v>101</v>
      </c>
      <c r="B648" s="15" t="s">
        <v>102</v>
      </c>
      <c r="C648" s="15" t="s">
        <v>93</v>
      </c>
      <c r="D648" s="15" t="s">
        <v>96</v>
      </c>
      <c r="E648" s="15" t="s">
        <v>66</v>
      </c>
      <c r="F648" s="15" t="s">
        <v>67</v>
      </c>
      <c r="G648" s="15" t="s">
        <v>73</v>
      </c>
      <c r="H648" s="15" t="s">
        <v>71</v>
      </c>
      <c r="I648" s="16">
        <v>114589</v>
      </c>
      <c r="J648" s="16">
        <v>92367</v>
      </c>
      <c r="K648" s="16">
        <v>111377</v>
      </c>
      <c r="L648" s="17">
        <v>745.8</v>
      </c>
      <c r="M648" s="17">
        <v>103.8</v>
      </c>
      <c r="N648" s="17">
        <f t="shared" si="30"/>
        <v>642</v>
      </c>
      <c r="O648" s="17">
        <v>476.4</v>
      </c>
      <c r="P648" s="17">
        <v>615.9</v>
      </c>
      <c r="Q648" s="17">
        <v>390.9</v>
      </c>
      <c r="R648" s="17">
        <f t="shared" si="31"/>
        <v>251.10000000000002</v>
      </c>
      <c r="S648" s="17">
        <v>294.8</v>
      </c>
      <c r="T648" s="17">
        <f t="shared" si="32"/>
        <v>181.59999999999997</v>
      </c>
    </row>
    <row r="649" spans="1:20" x14ac:dyDescent="0.35">
      <c r="A649" s="14" t="s">
        <v>101</v>
      </c>
      <c r="B649" s="15" t="s">
        <v>102</v>
      </c>
      <c r="C649" s="15" t="s">
        <v>93</v>
      </c>
      <c r="D649" s="15" t="s">
        <v>96</v>
      </c>
      <c r="E649" s="15" t="s">
        <v>66</v>
      </c>
      <c r="F649" s="15" t="s">
        <v>67</v>
      </c>
      <c r="G649" s="15" t="s">
        <v>73</v>
      </c>
      <c r="H649" s="15" t="s">
        <v>72</v>
      </c>
      <c r="I649" s="16">
        <v>45248</v>
      </c>
      <c r="J649" s="16">
        <v>35496</v>
      </c>
      <c r="K649" s="16">
        <v>43908</v>
      </c>
      <c r="L649" s="17">
        <v>394.5</v>
      </c>
      <c r="M649" s="17">
        <v>55.5</v>
      </c>
      <c r="N649" s="17">
        <f t="shared" si="30"/>
        <v>339</v>
      </c>
      <c r="O649" s="17">
        <v>244.5</v>
      </c>
      <c r="P649" s="17">
        <v>323.5</v>
      </c>
      <c r="Q649" s="17">
        <v>212.3</v>
      </c>
      <c r="R649" s="17">
        <f t="shared" si="31"/>
        <v>126.69999999999999</v>
      </c>
      <c r="S649" s="17">
        <v>155.1</v>
      </c>
      <c r="T649" s="17">
        <f t="shared" si="32"/>
        <v>89.4</v>
      </c>
    </row>
    <row r="650" spans="1:20" x14ac:dyDescent="0.35">
      <c r="A650" s="14" t="s">
        <v>101</v>
      </c>
      <c r="B650" s="15" t="s">
        <v>102</v>
      </c>
      <c r="C650" s="15" t="s">
        <v>93</v>
      </c>
      <c r="D650" s="15" t="s">
        <v>96</v>
      </c>
      <c r="E650" s="15" t="s">
        <v>66</v>
      </c>
      <c r="F650" s="15" t="s">
        <v>67</v>
      </c>
      <c r="G650" s="15" t="s">
        <v>74</v>
      </c>
      <c r="H650" s="15" t="s">
        <v>70</v>
      </c>
      <c r="I650" s="16">
        <v>84077</v>
      </c>
      <c r="J650" s="16">
        <v>72412</v>
      </c>
      <c r="K650" s="16">
        <v>81727</v>
      </c>
      <c r="L650" s="17">
        <v>402.5</v>
      </c>
      <c r="M650" s="17">
        <v>59.5</v>
      </c>
      <c r="N650" s="17">
        <f t="shared" si="30"/>
        <v>343</v>
      </c>
      <c r="O650" s="17">
        <v>273.7</v>
      </c>
      <c r="P650" s="17">
        <v>326.5</v>
      </c>
      <c r="Q650" s="17">
        <v>191.6</v>
      </c>
      <c r="R650" s="17">
        <f t="shared" si="31"/>
        <v>151.4</v>
      </c>
      <c r="S650" s="17">
        <v>155.1</v>
      </c>
      <c r="T650" s="17">
        <f t="shared" si="32"/>
        <v>118.6</v>
      </c>
    </row>
    <row r="651" spans="1:20" x14ac:dyDescent="0.35">
      <c r="A651" s="14" t="s">
        <v>101</v>
      </c>
      <c r="B651" s="15" t="s">
        <v>102</v>
      </c>
      <c r="C651" s="15" t="s">
        <v>93</v>
      </c>
      <c r="D651" s="15" t="s">
        <v>96</v>
      </c>
      <c r="E651" s="15" t="s">
        <v>66</v>
      </c>
      <c r="F651" s="15" t="s">
        <v>67</v>
      </c>
      <c r="G651" s="15" t="s">
        <v>74</v>
      </c>
      <c r="H651" s="15" t="s">
        <v>71</v>
      </c>
      <c r="I651" s="16">
        <v>173212</v>
      </c>
      <c r="J651" s="16">
        <v>150577</v>
      </c>
      <c r="K651" s="16">
        <v>166756</v>
      </c>
      <c r="L651" s="17">
        <v>1087.2</v>
      </c>
      <c r="M651" s="17">
        <v>152.30000000000001</v>
      </c>
      <c r="N651" s="17">
        <f t="shared" si="30"/>
        <v>934.90000000000009</v>
      </c>
      <c r="O651" s="17">
        <v>752.9</v>
      </c>
      <c r="P651" s="17">
        <v>892.5</v>
      </c>
      <c r="Q651" s="17">
        <v>585.1</v>
      </c>
      <c r="R651" s="17">
        <f t="shared" si="31"/>
        <v>349.80000000000007</v>
      </c>
      <c r="S651" s="17">
        <v>482.4</v>
      </c>
      <c r="T651" s="17">
        <f t="shared" si="32"/>
        <v>270.5</v>
      </c>
    </row>
    <row r="652" spans="1:20" x14ac:dyDescent="0.35">
      <c r="A652" s="14" t="s">
        <v>101</v>
      </c>
      <c r="B652" s="15" t="s">
        <v>102</v>
      </c>
      <c r="C652" s="15" t="s">
        <v>93</v>
      </c>
      <c r="D652" s="15" t="s">
        <v>96</v>
      </c>
      <c r="E652" s="15" t="s">
        <v>66</v>
      </c>
      <c r="F652" s="15" t="s">
        <v>67</v>
      </c>
      <c r="G652" s="15" t="s">
        <v>75</v>
      </c>
      <c r="H652" s="15" t="s">
        <v>71</v>
      </c>
      <c r="I652" s="16">
        <v>139680</v>
      </c>
      <c r="J652" s="16">
        <v>121728</v>
      </c>
      <c r="K652" s="16">
        <v>135903</v>
      </c>
      <c r="L652" s="17">
        <v>850.2</v>
      </c>
      <c r="M652" s="17">
        <v>119.7</v>
      </c>
      <c r="N652" s="17">
        <f t="shared" si="30"/>
        <v>730.5</v>
      </c>
      <c r="O652" s="17">
        <v>587.79999999999995</v>
      </c>
      <c r="P652" s="17">
        <v>692.7</v>
      </c>
      <c r="Q652" s="17">
        <v>461.8</v>
      </c>
      <c r="R652" s="17">
        <f t="shared" si="31"/>
        <v>268.7</v>
      </c>
      <c r="S652" s="17">
        <v>380.2</v>
      </c>
      <c r="T652" s="17">
        <f t="shared" si="32"/>
        <v>207.59999999999997</v>
      </c>
    </row>
    <row r="653" spans="1:20" x14ac:dyDescent="0.35">
      <c r="A653" s="14" t="s">
        <v>101</v>
      </c>
      <c r="B653" s="15" t="s">
        <v>102</v>
      </c>
      <c r="C653" s="15" t="s">
        <v>93</v>
      </c>
      <c r="D653" s="15" t="s">
        <v>96</v>
      </c>
      <c r="E653" s="15" t="s">
        <v>66</v>
      </c>
      <c r="F653" s="15" t="s">
        <v>67</v>
      </c>
      <c r="G653" s="15" t="s">
        <v>76</v>
      </c>
      <c r="H653" s="15" t="s">
        <v>72</v>
      </c>
      <c r="I653" s="16">
        <v>41083</v>
      </c>
      <c r="J653" s="16">
        <v>34664</v>
      </c>
      <c r="K653" s="16">
        <v>39905</v>
      </c>
      <c r="L653" s="17">
        <v>434.4</v>
      </c>
      <c r="M653" s="17">
        <v>62.4</v>
      </c>
      <c r="N653" s="17">
        <f t="shared" si="30"/>
        <v>372</v>
      </c>
      <c r="O653" s="17">
        <v>291.2</v>
      </c>
      <c r="P653" s="17">
        <v>358.9</v>
      </c>
      <c r="Q653" s="17">
        <v>231.6</v>
      </c>
      <c r="R653" s="17">
        <f t="shared" si="31"/>
        <v>140.4</v>
      </c>
      <c r="S653" s="17">
        <v>183.7</v>
      </c>
      <c r="T653" s="17">
        <f t="shared" si="32"/>
        <v>107.5</v>
      </c>
    </row>
    <row r="654" spans="1:20" x14ac:dyDescent="0.35">
      <c r="A654" s="14" t="s">
        <v>101</v>
      </c>
      <c r="B654" s="15" t="s">
        <v>102</v>
      </c>
      <c r="C654" s="15" t="s">
        <v>93</v>
      </c>
      <c r="D654" s="15" t="s">
        <v>96</v>
      </c>
      <c r="E654" s="15" t="s">
        <v>66</v>
      </c>
      <c r="F654" s="15" t="s">
        <v>79</v>
      </c>
      <c r="G654" s="15" t="s">
        <v>95</v>
      </c>
      <c r="H654" s="15" t="s">
        <v>71</v>
      </c>
      <c r="I654" s="16">
        <v>127024</v>
      </c>
      <c r="J654" s="16">
        <v>108921</v>
      </c>
      <c r="K654" s="16">
        <v>123203</v>
      </c>
      <c r="L654" s="17">
        <v>471.7</v>
      </c>
      <c r="M654" s="17">
        <v>62.1</v>
      </c>
      <c r="N654" s="17">
        <f t="shared" si="30"/>
        <v>409.59999999999997</v>
      </c>
      <c r="O654" s="17">
        <v>323.7</v>
      </c>
      <c r="P654" s="17">
        <v>394.8</v>
      </c>
      <c r="Q654" s="17">
        <v>247.4</v>
      </c>
      <c r="R654" s="17">
        <f t="shared" si="31"/>
        <v>162.19999999999996</v>
      </c>
      <c r="S654" s="17">
        <v>200.2</v>
      </c>
      <c r="T654" s="17">
        <f t="shared" si="32"/>
        <v>123.5</v>
      </c>
    </row>
    <row r="655" spans="1:20" x14ac:dyDescent="0.35">
      <c r="A655" s="14" t="s">
        <v>101</v>
      </c>
      <c r="B655" s="15" t="s">
        <v>102</v>
      </c>
      <c r="C655" s="15" t="s">
        <v>93</v>
      </c>
      <c r="D655" s="15" t="s">
        <v>96</v>
      </c>
      <c r="E655" s="15" t="s">
        <v>66</v>
      </c>
      <c r="F655" s="15" t="s">
        <v>81</v>
      </c>
      <c r="G655" s="15" t="s">
        <v>82</v>
      </c>
      <c r="H655" s="15" t="s">
        <v>71</v>
      </c>
      <c r="I655" s="16">
        <v>40643</v>
      </c>
      <c r="J655" s="16">
        <v>34039</v>
      </c>
      <c r="K655" s="16">
        <v>39475</v>
      </c>
      <c r="L655" s="17">
        <v>323.3</v>
      </c>
      <c r="M655" s="17">
        <v>43</v>
      </c>
      <c r="N655" s="17">
        <f t="shared" si="30"/>
        <v>280.3</v>
      </c>
      <c r="O655" s="17">
        <v>219.3</v>
      </c>
      <c r="P655" s="17">
        <v>266.5</v>
      </c>
      <c r="Q655" s="17">
        <v>176.6</v>
      </c>
      <c r="R655" s="17">
        <f t="shared" si="31"/>
        <v>103.70000000000002</v>
      </c>
      <c r="S655" s="17">
        <v>140.9</v>
      </c>
      <c r="T655" s="17">
        <f t="shared" si="32"/>
        <v>78.400000000000006</v>
      </c>
    </row>
    <row r="656" spans="1:20" x14ac:dyDescent="0.35">
      <c r="A656" s="14" t="s">
        <v>101</v>
      </c>
      <c r="B656" s="15" t="s">
        <v>102</v>
      </c>
      <c r="C656" s="15" t="s">
        <v>93</v>
      </c>
      <c r="D656" s="15" t="s">
        <v>96</v>
      </c>
      <c r="E656" s="15" t="s">
        <v>66</v>
      </c>
      <c r="F656" s="15" t="s">
        <v>83</v>
      </c>
      <c r="G656" s="15" t="s">
        <v>84</v>
      </c>
      <c r="H656" s="15" t="s">
        <v>72</v>
      </c>
      <c r="I656" s="16">
        <v>43526</v>
      </c>
      <c r="J656" s="16">
        <v>32812</v>
      </c>
      <c r="K656" s="16">
        <v>42239</v>
      </c>
      <c r="L656" s="17">
        <v>1116.2</v>
      </c>
      <c r="M656" s="17">
        <v>150.4</v>
      </c>
      <c r="N656" s="17">
        <f t="shared" si="30"/>
        <v>965.80000000000007</v>
      </c>
      <c r="O656" s="17">
        <v>673.6</v>
      </c>
      <c r="P656" s="17">
        <v>915.9</v>
      </c>
      <c r="Q656" s="17">
        <v>556.4</v>
      </c>
      <c r="R656" s="17">
        <f t="shared" si="31"/>
        <v>409.40000000000009</v>
      </c>
      <c r="S656" s="17">
        <v>396.6</v>
      </c>
      <c r="T656" s="17">
        <f t="shared" si="32"/>
        <v>277</v>
      </c>
    </row>
    <row r="657" spans="1:20" x14ac:dyDescent="0.35">
      <c r="A657" s="14" t="s">
        <v>101</v>
      </c>
      <c r="B657" s="15" t="s">
        <v>102</v>
      </c>
      <c r="C657" s="15" t="s">
        <v>93</v>
      </c>
      <c r="D657" s="15" t="s">
        <v>96</v>
      </c>
      <c r="E657" s="15" t="s">
        <v>89</v>
      </c>
      <c r="F657" s="15" t="s">
        <v>67</v>
      </c>
      <c r="G657" s="15" t="s">
        <v>68</v>
      </c>
      <c r="H657" s="15" t="s">
        <v>69</v>
      </c>
      <c r="I657" s="16">
        <v>771159</v>
      </c>
      <c r="J657" s="16">
        <v>683759</v>
      </c>
      <c r="K657" s="16">
        <v>744105</v>
      </c>
      <c r="L657" s="17">
        <v>3160.9</v>
      </c>
      <c r="M657" s="17">
        <v>194.5</v>
      </c>
      <c r="N657" s="17">
        <f t="shared" si="30"/>
        <v>2966.4</v>
      </c>
      <c r="O657" s="17">
        <v>2427.3000000000002</v>
      </c>
      <c r="P657" s="17">
        <v>2845.7</v>
      </c>
      <c r="Q657" s="17">
        <v>1625.9</v>
      </c>
      <c r="R657" s="17">
        <f t="shared" si="31"/>
        <v>1340.5</v>
      </c>
      <c r="S657" s="17">
        <v>1350.9</v>
      </c>
      <c r="T657" s="17">
        <f t="shared" si="32"/>
        <v>1076.4000000000001</v>
      </c>
    </row>
    <row r="658" spans="1:20" x14ac:dyDescent="0.35">
      <c r="A658" s="14" t="s">
        <v>101</v>
      </c>
      <c r="B658" s="15" t="s">
        <v>102</v>
      </c>
      <c r="C658" s="15" t="s">
        <v>93</v>
      </c>
      <c r="D658" s="15" t="s">
        <v>96</v>
      </c>
      <c r="E658" s="15" t="s">
        <v>89</v>
      </c>
      <c r="F658" s="15" t="s">
        <v>67</v>
      </c>
      <c r="G658" s="15" t="s">
        <v>68</v>
      </c>
      <c r="H658" s="15" t="s">
        <v>70</v>
      </c>
      <c r="I658" s="16">
        <v>559128</v>
      </c>
      <c r="J658" s="16">
        <v>488501</v>
      </c>
      <c r="K658" s="16">
        <v>544037</v>
      </c>
      <c r="L658" s="17">
        <v>2719.4</v>
      </c>
      <c r="M658" s="17">
        <v>169.2</v>
      </c>
      <c r="N658" s="17">
        <f t="shared" si="30"/>
        <v>2550.2000000000003</v>
      </c>
      <c r="O658" s="17">
        <v>2051</v>
      </c>
      <c r="P658" s="17">
        <v>2450.4</v>
      </c>
      <c r="Q658" s="17">
        <v>1443.2</v>
      </c>
      <c r="R658" s="17">
        <f t="shared" si="31"/>
        <v>1107.0000000000002</v>
      </c>
      <c r="S658" s="17">
        <v>1177.4000000000001</v>
      </c>
      <c r="T658" s="17">
        <f t="shared" si="32"/>
        <v>873.59999999999991</v>
      </c>
    </row>
    <row r="659" spans="1:20" x14ac:dyDescent="0.35">
      <c r="A659" s="14" t="s">
        <v>101</v>
      </c>
      <c r="B659" s="15" t="s">
        <v>102</v>
      </c>
      <c r="C659" s="15" t="s">
        <v>93</v>
      </c>
      <c r="D659" s="15" t="s">
        <v>96</v>
      </c>
      <c r="E659" s="15" t="s">
        <v>89</v>
      </c>
      <c r="F659" s="15" t="s">
        <v>67</v>
      </c>
      <c r="G659" s="15" t="s">
        <v>68</v>
      </c>
      <c r="H659" s="15" t="s">
        <v>71</v>
      </c>
      <c r="I659" s="16">
        <v>557765</v>
      </c>
      <c r="J659" s="16">
        <v>487585</v>
      </c>
      <c r="K659" s="16">
        <v>539814</v>
      </c>
      <c r="L659" s="17">
        <v>3392.9</v>
      </c>
      <c r="M659" s="17">
        <v>254.1</v>
      </c>
      <c r="N659" s="17">
        <f t="shared" si="30"/>
        <v>3138.8</v>
      </c>
      <c r="O659" s="17">
        <v>2558.8000000000002</v>
      </c>
      <c r="P659" s="17">
        <v>2988.7</v>
      </c>
      <c r="Q659" s="17">
        <v>1942.8</v>
      </c>
      <c r="R659" s="17">
        <f t="shared" si="31"/>
        <v>1196.0000000000002</v>
      </c>
      <c r="S659" s="17">
        <v>1619.3</v>
      </c>
      <c r="T659" s="17">
        <f t="shared" si="32"/>
        <v>939.50000000000023</v>
      </c>
    </row>
    <row r="660" spans="1:20" x14ac:dyDescent="0.35">
      <c r="A660" s="14" t="s">
        <v>101</v>
      </c>
      <c r="B660" s="15" t="s">
        <v>102</v>
      </c>
      <c r="C660" s="15" t="s">
        <v>93</v>
      </c>
      <c r="D660" s="15" t="s">
        <v>96</v>
      </c>
      <c r="E660" s="15" t="s">
        <v>89</v>
      </c>
      <c r="F660" s="15" t="s">
        <v>67</v>
      </c>
      <c r="G660" s="15" t="s">
        <v>68</v>
      </c>
      <c r="H660" s="15" t="s">
        <v>72</v>
      </c>
      <c r="I660" s="16">
        <v>118925</v>
      </c>
      <c r="J660" s="16">
        <v>104728</v>
      </c>
      <c r="K660" s="16">
        <v>114491</v>
      </c>
      <c r="L660" s="17">
        <v>1012.7</v>
      </c>
      <c r="M660" s="17">
        <v>77.7</v>
      </c>
      <c r="N660" s="17">
        <f t="shared" si="30"/>
        <v>935</v>
      </c>
      <c r="O660" s="17">
        <v>764.4</v>
      </c>
      <c r="P660" s="17">
        <v>893.4</v>
      </c>
      <c r="Q660" s="17">
        <v>590.5</v>
      </c>
      <c r="R660" s="17">
        <f t="shared" si="31"/>
        <v>344.5</v>
      </c>
      <c r="S660" s="17">
        <v>486.4</v>
      </c>
      <c r="T660" s="17">
        <f t="shared" si="32"/>
        <v>278</v>
      </c>
    </row>
    <row r="661" spans="1:20" x14ac:dyDescent="0.35">
      <c r="A661" s="14" t="s">
        <v>101</v>
      </c>
      <c r="B661" s="15" t="s">
        <v>102</v>
      </c>
      <c r="C661" s="15" t="s">
        <v>93</v>
      </c>
      <c r="D661" s="15" t="s">
        <v>96</v>
      </c>
      <c r="E661" s="15" t="s">
        <v>89</v>
      </c>
      <c r="F661" s="15" t="s">
        <v>67</v>
      </c>
      <c r="G661" s="15" t="s">
        <v>73</v>
      </c>
      <c r="H661" s="15" t="s">
        <v>71</v>
      </c>
      <c r="I661" s="16">
        <v>148686</v>
      </c>
      <c r="J661" s="16">
        <v>120548</v>
      </c>
      <c r="K661" s="16">
        <v>144363</v>
      </c>
      <c r="L661" s="17">
        <v>949.2</v>
      </c>
      <c r="M661" s="17">
        <v>75.599999999999994</v>
      </c>
      <c r="N661" s="17">
        <f t="shared" si="30"/>
        <v>873.6</v>
      </c>
      <c r="O661" s="17">
        <v>656.7</v>
      </c>
      <c r="P661" s="17">
        <v>841.5</v>
      </c>
      <c r="Q661" s="17">
        <v>528.9</v>
      </c>
      <c r="R661" s="17">
        <f t="shared" si="31"/>
        <v>344.70000000000005</v>
      </c>
      <c r="S661" s="17">
        <v>405.2</v>
      </c>
      <c r="T661" s="17">
        <f t="shared" si="32"/>
        <v>251.50000000000006</v>
      </c>
    </row>
    <row r="662" spans="1:20" x14ac:dyDescent="0.35">
      <c r="A662" s="14" t="s">
        <v>101</v>
      </c>
      <c r="B662" s="15" t="s">
        <v>102</v>
      </c>
      <c r="C662" s="15" t="s">
        <v>93</v>
      </c>
      <c r="D662" s="15" t="s">
        <v>96</v>
      </c>
      <c r="E662" s="15" t="s">
        <v>89</v>
      </c>
      <c r="F662" s="15" t="s">
        <v>67</v>
      </c>
      <c r="G662" s="15" t="s">
        <v>73</v>
      </c>
      <c r="H662" s="15" t="s">
        <v>72</v>
      </c>
      <c r="I662" s="16">
        <v>32896</v>
      </c>
      <c r="J662" s="16">
        <v>26549</v>
      </c>
      <c r="K662" s="16">
        <v>31685</v>
      </c>
      <c r="L662" s="17">
        <v>271.39999999999998</v>
      </c>
      <c r="M662" s="17">
        <v>16.399999999999999</v>
      </c>
      <c r="N662" s="17">
        <f t="shared" si="30"/>
        <v>254.99999999999997</v>
      </c>
      <c r="O662" s="17">
        <v>191.2</v>
      </c>
      <c r="P662" s="17">
        <v>243.9</v>
      </c>
      <c r="Q662" s="17">
        <v>160.6</v>
      </c>
      <c r="R662" s="17">
        <f t="shared" si="31"/>
        <v>94.399999999999977</v>
      </c>
      <c r="S662" s="17">
        <v>123.1</v>
      </c>
      <c r="T662" s="17">
        <f t="shared" si="32"/>
        <v>68.099999999999994</v>
      </c>
    </row>
    <row r="663" spans="1:20" x14ac:dyDescent="0.35">
      <c r="A663" s="14" t="s">
        <v>101</v>
      </c>
      <c r="B663" s="15" t="s">
        <v>102</v>
      </c>
      <c r="C663" s="15" t="s">
        <v>93</v>
      </c>
      <c r="D663" s="15" t="s">
        <v>96</v>
      </c>
      <c r="E663" s="15" t="s">
        <v>89</v>
      </c>
      <c r="F663" s="15" t="s">
        <v>67</v>
      </c>
      <c r="G663" s="15" t="s">
        <v>74</v>
      </c>
      <c r="H663" s="15" t="s">
        <v>70</v>
      </c>
      <c r="I663" s="16">
        <v>235530</v>
      </c>
      <c r="J663" s="16">
        <v>205143</v>
      </c>
      <c r="K663" s="16">
        <v>225912</v>
      </c>
      <c r="L663" s="17">
        <v>1145.7</v>
      </c>
      <c r="M663" s="17">
        <v>83.3</v>
      </c>
      <c r="N663" s="17">
        <f t="shared" si="30"/>
        <v>1062.4000000000001</v>
      </c>
      <c r="O663" s="17">
        <v>858</v>
      </c>
      <c r="P663" s="17">
        <v>1008.6</v>
      </c>
      <c r="Q663" s="17">
        <v>592.1</v>
      </c>
      <c r="R663" s="17">
        <f t="shared" si="31"/>
        <v>470.30000000000007</v>
      </c>
      <c r="S663" s="17">
        <v>482.3</v>
      </c>
      <c r="T663" s="17">
        <f t="shared" si="32"/>
        <v>375.7</v>
      </c>
    </row>
    <row r="664" spans="1:20" x14ac:dyDescent="0.35">
      <c r="A664" s="14" t="s">
        <v>101</v>
      </c>
      <c r="B664" s="15" t="s">
        <v>102</v>
      </c>
      <c r="C664" s="15" t="s">
        <v>93</v>
      </c>
      <c r="D664" s="15" t="s">
        <v>96</v>
      </c>
      <c r="E664" s="15" t="s">
        <v>89</v>
      </c>
      <c r="F664" s="15" t="s">
        <v>67</v>
      </c>
      <c r="G664" s="15" t="s">
        <v>74</v>
      </c>
      <c r="H664" s="15" t="s">
        <v>71</v>
      </c>
      <c r="I664" s="16">
        <v>213292</v>
      </c>
      <c r="J664" s="16">
        <v>187633</v>
      </c>
      <c r="K664" s="16">
        <v>206962</v>
      </c>
      <c r="L664" s="17">
        <v>1281.5</v>
      </c>
      <c r="M664" s="17">
        <v>90.7</v>
      </c>
      <c r="N664" s="17">
        <f t="shared" si="30"/>
        <v>1190.8</v>
      </c>
      <c r="O664" s="17">
        <v>973.2</v>
      </c>
      <c r="P664" s="17">
        <v>1148.2</v>
      </c>
      <c r="Q664" s="17">
        <v>744.2</v>
      </c>
      <c r="R664" s="17">
        <f t="shared" si="31"/>
        <v>446.59999999999991</v>
      </c>
      <c r="S664" s="17">
        <v>616.6</v>
      </c>
      <c r="T664" s="17">
        <f t="shared" si="32"/>
        <v>356.6</v>
      </c>
    </row>
    <row r="665" spans="1:20" x14ac:dyDescent="0.35">
      <c r="A665" s="14" t="s">
        <v>101</v>
      </c>
      <c r="B665" s="15" t="s">
        <v>102</v>
      </c>
      <c r="C665" s="15" t="s">
        <v>93</v>
      </c>
      <c r="D665" s="15" t="s">
        <v>96</v>
      </c>
      <c r="E665" s="15" t="s">
        <v>89</v>
      </c>
      <c r="F665" s="15" t="s">
        <v>67</v>
      </c>
      <c r="G665" s="15" t="s">
        <v>75</v>
      </c>
      <c r="H665" s="15" t="s">
        <v>71</v>
      </c>
      <c r="I665" s="16">
        <v>155217</v>
      </c>
      <c r="J665" s="16">
        <v>137814</v>
      </c>
      <c r="K665" s="16">
        <v>149512</v>
      </c>
      <c r="L665" s="17">
        <v>910.4</v>
      </c>
      <c r="M665" s="17">
        <v>59</v>
      </c>
      <c r="N665" s="17">
        <f t="shared" si="30"/>
        <v>851.4</v>
      </c>
      <c r="O665" s="17">
        <v>699.5</v>
      </c>
      <c r="P665" s="17">
        <v>819.9</v>
      </c>
      <c r="Q665" s="17">
        <v>535.70000000000005</v>
      </c>
      <c r="R665" s="17">
        <f t="shared" si="31"/>
        <v>315.69999999999993</v>
      </c>
      <c r="S665" s="17">
        <v>446.8</v>
      </c>
      <c r="T665" s="17">
        <f t="shared" si="32"/>
        <v>252.7</v>
      </c>
    </row>
    <row r="666" spans="1:20" x14ac:dyDescent="0.35">
      <c r="A666" s="14" t="s">
        <v>101</v>
      </c>
      <c r="B666" s="15" t="s">
        <v>102</v>
      </c>
      <c r="C666" s="15" t="s">
        <v>93</v>
      </c>
      <c r="D666" s="15" t="s">
        <v>96</v>
      </c>
      <c r="E666" s="15" t="s">
        <v>89</v>
      </c>
      <c r="F666" s="15" t="s">
        <v>67</v>
      </c>
      <c r="G666" s="15" t="s">
        <v>76</v>
      </c>
      <c r="H666" s="15" t="s">
        <v>72</v>
      </c>
      <c r="I666" s="16">
        <v>27991</v>
      </c>
      <c r="J666" s="16">
        <v>23722</v>
      </c>
      <c r="K666" s="16">
        <v>27155</v>
      </c>
      <c r="L666" s="17">
        <v>269.2</v>
      </c>
      <c r="M666" s="17">
        <v>16.399999999999999</v>
      </c>
      <c r="N666" s="17">
        <f t="shared" si="30"/>
        <v>252.79999999999998</v>
      </c>
      <c r="O666" s="17">
        <v>199.8</v>
      </c>
      <c r="P666" s="17">
        <v>240</v>
      </c>
      <c r="Q666" s="17">
        <v>159.30000000000001</v>
      </c>
      <c r="R666" s="17">
        <f t="shared" si="31"/>
        <v>93.499999999999972</v>
      </c>
      <c r="S666" s="17">
        <v>126.9</v>
      </c>
      <c r="T666" s="17">
        <f t="shared" si="32"/>
        <v>72.900000000000006</v>
      </c>
    </row>
    <row r="667" spans="1:20" x14ac:dyDescent="0.35">
      <c r="A667" s="14" t="s">
        <v>101</v>
      </c>
      <c r="B667" s="15" t="s">
        <v>102</v>
      </c>
      <c r="C667" s="15" t="s">
        <v>93</v>
      </c>
      <c r="D667" s="15" t="s">
        <v>96</v>
      </c>
      <c r="E667" s="15" t="s">
        <v>89</v>
      </c>
      <c r="F667" s="15" t="s">
        <v>79</v>
      </c>
      <c r="G667" s="15" t="s">
        <v>95</v>
      </c>
      <c r="H667" s="15" t="s">
        <v>71</v>
      </c>
      <c r="I667" s="16">
        <v>161996</v>
      </c>
      <c r="J667" s="16">
        <v>139008</v>
      </c>
      <c r="K667" s="16">
        <v>157398</v>
      </c>
      <c r="L667" s="17">
        <v>599.9</v>
      </c>
      <c r="M667" s="17">
        <v>43.4</v>
      </c>
      <c r="N667" s="17">
        <f t="shared" si="30"/>
        <v>556.5</v>
      </c>
      <c r="O667" s="17">
        <v>445.1</v>
      </c>
      <c r="P667" s="17">
        <v>529</v>
      </c>
      <c r="Q667" s="17">
        <v>327.10000000000002</v>
      </c>
      <c r="R667" s="17">
        <f t="shared" si="31"/>
        <v>229.39999999999998</v>
      </c>
      <c r="S667" s="17">
        <v>265.89999999999998</v>
      </c>
      <c r="T667" s="17">
        <f t="shared" si="32"/>
        <v>179.20000000000005</v>
      </c>
    </row>
    <row r="668" spans="1:20" x14ac:dyDescent="0.35">
      <c r="A668" s="14" t="s">
        <v>101</v>
      </c>
      <c r="B668" s="15" t="s">
        <v>102</v>
      </c>
      <c r="C668" s="15" t="s">
        <v>93</v>
      </c>
      <c r="D668" s="15" t="s">
        <v>96</v>
      </c>
      <c r="E668" s="15" t="s">
        <v>89</v>
      </c>
      <c r="F668" s="15" t="s">
        <v>81</v>
      </c>
      <c r="G668" s="15" t="s">
        <v>82</v>
      </c>
      <c r="H668" s="15" t="s">
        <v>71</v>
      </c>
      <c r="I668" s="16">
        <v>51735</v>
      </c>
      <c r="J668" s="16">
        <v>43618</v>
      </c>
      <c r="K668" s="16">
        <v>50361</v>
      </c>
      <c r="L668" s="17">
        <v>414.7</v>
      </c>
      <c r="M668" s="17">
        <v>32.4</v>
      </c>
      <c r="N668" s="17">
        <f t="shared" si="30"/>
        <v>382.3</v>
      </c>
      <c r="O668" s="17">
        <v>297.7</v>
      </c>
      <c r="P668" s="17">
        <v>363</v>
      </c>
      <c r="Q668" s="17">
        <v>239.3</v>
      </c>
      <c r="R668" s="17">
        <f t="shared" si="31"/>
        <v>143</v>
      </c>
      <c r="S668" s="17">
        <v>189.7</v>
      </c>
      <c r="T668" s="17">
        <f t="shared" si="32"/>
        <v>108</v>
      </c>
    </row>
    <row r="669" spans="1:20" x14ac:dyDescent="0.35">
      <c r="A669" s="14" t="s">
        <v>101</v>
      </c>
      <c r="B669" s="15" t="s">
        <v>102</v>
      </c>
      <c r="C669" s="15" t="s">
        <v>93</v>
      </c>
      <c r="D669" s="15" t="s">
        <v>96</v>
      </c>
      <c r="E669" s="15" t="s">
        <v>89</v>
      </c>
      <c r="F669" s="15" t="s">
        <v>83</v>
      </c>
      <c r="G669" s="15" t="s">
        <v>84</v>
      </c>
      <c r="H669" s="15" t="s">
        <v>72</v>
      </c>
      <c r="I669" s="16">
        <v>23740</v>
      </c>
      <c r="J669" s="16">
        <v>18211</v>
      </c>
      <c r="K669" s="16">
        <v>22951</v>
      </c>
      <c r="L669" s="17">
        <v>584</v>
      </c>
      <c r="M669" s="17">
        <v>46.3</v>
      </c>
      <c r="N669" s="17">
        <f t="shared" si="30"/>
        <v>537.70000000000005</v>
      </c>
      <c r="O669" s="17">
        <v>384.2</v>
      </c>
      <c r="P669" s="17">
        <v>515.70000000000005</v>
      </c>
      <c r="Q669" s="17">
        <v>319.7</v>
      </c>
      <c r="R669" s="17">
        <f t="shared" si="31"/>
        <v>218.00000000000006</v>
      </c>
      <c r="S669" s="17">
        <v>231.2</v>
      </c>
      <c r="T669" s="17">
        <f t="shared" si="32"/>
        <v>153</v>
      </c>
    </row>
    <row r="670" spans="1:20" x14ac:dyDescent="0.35">
      <c r="A670" s="14" t="s">
        <v>101</v>
      </c>
      <c r="B670" s="15" t="s">
        <v>102</v>
      </c>
      <c r="C670" s="15" t="s">
        <v>93</v>
      </c>
      <c r="D670" s="15" t="s">
        <v>96</v>
      </c>
      <c r="E670" s="15" t="s">
        <v>90</v>
      </c>
      <c r="F670" s="15" t="s">
        <v>67</v>
      </c>
      <c r="G670" s="15" t="s">
        <v>68</v>
      </c>
      <c r="H670" s="15" t="s">
        <v>69</v>
      </c>
      <c r="I670" s="16">
        <v>284884</v>
      </c>
      <c r="J670" s="16">
        <v>255697</v>
      </c>
      <c r="K670" s="16">
        <v>273429</v>
      </c>
      <c r="L670" s="17">
        <v>1070.9000000000001</v>
      </c>
      <c r="M670" s="17">
        <v>120.4</v>
      </c>
      <c r="N670" s="17">
        <f t="shared" si="30"/>
        <v>950.50000000000011</v>
      </c>
      <c r="O670" s="17">
        <v>787.2</v>
      </c>
      <c r="P670" s="17">
        <v>910</v>
      </c>
      <c r="Q670" s="17">
        <v>525.79999999999995</v>
      </c>
      <c r="R670" s="17">
        <f t="shared" si="31"/>
        <v>424.70000000000016</v>
      </c>
      <c r="S670" s="17">
        <v>442</v>
      </c>
      <c r="T670" s="17">
        <f t="shared" si="32"/>
        <v>345.20000000000005</v>
      </c>
    </row>
    <row r="671" spans="1:20" x14ac:dyDescent="0.35">
      <c r="A671" s="14" t="s">
        <v>101</v>
      </c>
      <c r="B671" s="15" t="s">
        <v>102</v>
      </c>
      <c r="C671" s="15" t="s">
        <v>93</v>
      </c>
      <c r="D671" s="15" t="s">
        <v>96</v>
      </c>
      <c r="E671" s="15" t="s">
        <v>90</v>
      </c>
      <c r="F671" s="15" t="s">
        <v>67</v>
      </c>
      <c r="G671" s="15" t="s">
        <v>68</v>
      </c>
      <c r="H671" s="15" t="s">
        <v>70</v>
      </c>
      <c r="I671" s="16">
        <v>224224</v>
      </c>
      <c r="J671" s="16">
        <v>195230</v>
      </c>
      <c r="K671" s="16">
        <v>218071</v>
      </c>
      <c r="L671" s="17">
        <v>986</v>
      </c>
      <c r="M671" s="17">
        <v>118</v>
      </c>
      <c r="N671" s="17">
        <f t="shared" si="30"/>
        <v>868</v>
      </c>
      <c r="O671" s="17">
        <v>698</v>
      </c>
      <c r="P671" s="17">
        <v>826.9</v>
      </c>
      <c r="Q671" s="17">
        <v>498.2</v>
      </c>
      <c r="R671" s="17">
        <f t="shared" si="31"/>
        <v>369.8</v>
      </c>
      <c r="S671" s="17">
        <v>410.9</v>
      </c>
      <c r="T671" s="17">
        <f t="shared" si="32"/>
        <v>287.10000000000002</v>
      </c>
    </row>
    <row r="672" spans="1:20" x14ac:dyDescent="0.35">
      <c r="A672" s="14" t="s">
        <v>101</v>
      </c>
      <c r="B672" s="15" t="s">
        <v>102</v>
      </c>
      <c r="C672" s="15" t="s">
        <v>93</v>
      </c>
      <c r="D672" s="15" t="s">
        <v>96</v>
      </c>
      <c r="E672" s="15" t="s">
        <v>90</v>
      </c>
      <c r="F672" s="15" t="s">
        <v>67</v>
      </c>
      <c r="G672" s="15" t="s">
        <v>68</v>
      </c>
      <c r="H672" s="15" t="s">
        <v>71</v>
      </c>
      <c r="I672" s="16">
        <v>318120</v>
      </c>
      <c r="J672" s="16">
        <v>283414</v>
      </c>
      <c r="K672" s="16">
        <v>308631</v>
      </c>
      <c r="L672" s="17">
        <v>1763.4</v>
      </c>
      <c r="M672" s="17">
        <v>181.6</v>
      </c>
      <c r="N672" s="17">
        <f t="shared" si="30"/>
        <v>1581.8000000000002</v>
      </c>
      <c r="O672" s="17">
        <v>1301.0999999999999</v>
      </c>
      <c r="P672" s="17">
        <v>1508.7</v>
      </c>
      <c r="Q672" s="17">
        <v>960.4</v>
      </c>
      <c r="R672" s="17">
        <f t="shared" si="31"/>
        <v>621.4000000000002</v>
      </c>
      <c r="S672" s="17">
        <v>798.6</v>
      </c>
      <c r="T672" s="17">
        <f t="shared" si="32"/>
        <v>502.49999999999989</v>
      </c>
    </row>
    <row r="673" spans="1:20" x14ac:dyDescent="0.35">
      <c r="A673" s="14" t="s">
        <v>101</v>
      </c>
      <c r="B673" s="15" t="s">
        <v>102</v>
      </c>
      <c r="C673" s="15" t="s">
        <v>93</v>
      </c>
      <c r="D673" s="15" t="s">
        <v>96</v>
      </c>
      <c r="E673" s="15" t="s">
        <v>90</v>
      </c>
      <c r="F673" s="15" t="s">
        <v>67</v>
      </c>
      <c r="G673" s="15" t="s">
        <v>68</v>
      </c>
      <c r="H673" s="15" t="s">
        <v>72</v>
      </c>
      <c r="I673" s="16">
        <v>77556</v>
      </c>
      <c r="J673" s="16">
        <v>68249</v>
      </c>
      <c r="K673" s="16">
        <v>74938</v>
      </c>
      <c r="L673" s="17">
        <v>575.79999999999995</v>
      </c>
      <c r="M673" s="17">
        <v>58.9</v>
      </c>
      <c r="N673" s="17">
        <f t="shared" si="30"/>
        <v>516.9</v>
      </c>
      <c r="O673" s="17">
        <v>419.6</v>
      </c>
      <c r="P673" s="17">
        <v>499.1</v>
      </c>
      <c r="Q673" s="17">
        <v>334.3</v>
      </c>
      <c r="R673" s="17">
        <f t="shared" si="31"/>
        <v>182.59999999999997</v>
      </c>
      <c r="S673" s="17">
        <v>277.2</v>
      </c>
      <c r="T673" s="17">
        <f t="shared" si="32"/>
        <v>142.40000000000003</v>
      </c>
    </row>
    <row r="674" spans="1:20" x14ac:dyDescent="0.35">
      <c r="A674" s="14" t="s">
        <v>101</v>
      </c>
      <c r="B674" s="15" t="s">
        <v>102</v>
      </c>
      <c r="C674" s="15" t="s">
        <v>93</v>
      </c>
      <c r="D674" s="15" t="s">
        <v>96</v>
      </c>
      <c r="E674" s="15" t="s">
        <v>90</v>
      </c>
      <c r="F674" s="15" t="s">
        <v>67</v>
      </c>
      <c r="G674" s="15" t="s">
        <v>73</v>
      </c>
      <c r="H674" s="15" t="s">
        <v>71</v>
      </c>
      <c r="I674" s="16">
        <v>71055</v>
      </c>
      <c r="J674" s="16">
        <v>57630</v>
      </c>
      <c r="K674" s="16">
        <v>68430</v>
      </c>
      <c r="L674" s="17">
        <v>396.3</v>
      </c>
      <c r="M674" s="17">
        <v>40.799999999999997</v>
      </c>
      <c r="N674" s="17">
        <f t="shared" si="30"/>
        <v>355.5</v>
      </c>
      <c r="O674" s="17">
        <v>265.3</v>
      </c>
      <c r="P674" s="17">
        <v>339.5</v>
      </c>
      <c r="Q674" s="17">
        <v>215.3</v>
      </c>
      <c r="R674" s="17">
        <f t="shared" si="31"/>
        <v>140.19999999999999</v>
      </c>
      <c r="S674" s="17">
        <v>163.19999999999999</v>
      </c>
      <c r="T674" s="17">
        <f t="shared" si="32"/>
        <v>102.10000000000002</v>
      </c>
    </row>
    <row r="675" spans="1:20" x14ac:dyDescent="0.35">
      <c r="A675" s="14" t="s">
        <v>101</v>
      </c>
      <c r="B675" s="15" t="s">
        <v>102</v>
      </c>
      <c r="C675" s="15" t="s">
        <v>93</v>
      </c>
      <c r="D675" s="15" t="s">
        <v>96</v>
      </c>
      <c r="E675" s="15" t="s">
        <v>90</v>
      </c>
      <c r="F675" s="15" t="s">
        <v>67</v>
      </c>
      <c r="G675" s="15" t="s">
        <v>73</v>
      </c>
      <c r="H675" s="15" t="s">
        <v>72</v>
      </c>
      <c r="I675" s="16">
        <v>26795</v>
      </c>
      <c r="J675" s="16">
        <v>21636</v>
      </c>
      <c r="K675" s="16">
        <v>26003</v>
      </c>
      <c r="L675" s="17">
        <v>200.2</v>
      </c>
      <c r="M675" s="17">
        <v>24</v>
      </c>
      <c r="N675" s="17">
        <f t="shared" si="30"/>
        <v>176.2</v>
      </c>
      <c r="O675" s="17">
        <v>132.80000000000001</v>
      </c>
      <c r="P675" s="17">
        <v>169.9</v>
      </c>
      <c r="Q675" s="17">
        <v>110.3</v>
      </c>
      <c r="R675" s="17">
        <f t="shared" si="31"/>
        <v>65.899999999999991</v>
      </c>
      <c r="S675" s="17">
        <v>84.8</v>
      </c>
      <c r="T675" s="17">
        <f t="shared" si="32"/>
        <v>48.000000000000014</v>
      </c>
    </row>
    <row r="676" spans="1:20" x14ac:dyDescent="0.35">
      <c r="A676" s="14" t="s">
        <v>101</v>
      </c>
      <c r="B676" s="15" t="s">
        <v>102</v>
      </c>
      <c r="C676" s="15" t="s">
        <v>93</v>
      </c>
      <c r="D676" s="15" t="s">
        <v>96</v>
      </c>
      <c r="E676" s="15" t="s">
        <v>90</v>
      </c>
      <c r="F676" s="15" t="s">
        <v>67</v>
      </c>
      <c r="G676" s="15" t="s">
        <v>74</v>
      </c>
      <c r="H676" s="15" t="s">
        <v>70</v>
      </c>
      <c r="I676" s="16">
        <v>97646</v>
      </c>
      <c r="J676" s="16">
        <v>84693</v>
      </c>
      <c r="K676" s="16">
        <v>94026</v>
      </c>
      <c r="L676" s="17">
        <v>427.3</v>
      </c>
      <c r="M676" s="17">
        <v>43.1</v>
      </c>
      <c r="N676" s="17">
        <f t="shared" si="30"/>
        <v>384.2</v>
      </c>
      <c r="O676" s="17">
        <v>309.8</v>
      </c>
      <c r="P676" s="17">
        <v>367.1</v>
      </c>
      <c r="Q676" s="17">
        <v>223.2</v>
      </c>
      <c r="R676" s="17">
        <f t="shared" si="31"/>
        <v>161</v>
      </c>
      <c r="S676" s="17">
        <v>183.7</v>
      </c>
      <c r="T676" s="17">
        <f t="shared" si="32"/>
        <v>126.10000000000002</v>
      </c>
    </row>
    <row r="677" spans="1:20" x14ac:dyDescent="0.35">
      <c r="A677" s="14" t="s">
        <v>101</v>
      </c>
      <c r="B677" s="15" t="s">
        <v>102</v>
      </c>
      <c r="C677" s="15" t="s">
        <v>93</v>
      </c>
      <c r="D677" s="15" t="s">
        <v>96</v>
      </c>
      <c r="E677" s="15" t="s">
        <v>90</v>
      </c>
      <c r="F677" s="15" t="s">
        <v>67</v>
      </c>
      <c r="G677" s="15" t="s">
        <v>74</v>
      </c>
      <c r="H677" s="15" t="s">
        <v>71</v>
      </c>
      <c r="I677" s="16">
        <v>122878</v>
      </c>
      <c r="J677" s="16">
        <v>107896</v>
      </c>
      <c r="K677" s="16">
        <v>119636</v>
      </c>
      <c r="L677" s="17">
        <v>666.2</v>
      </c>
      <c r="M677" s="17">
        <v>73.900000000000006</v>
      </c>
      <c r="N677" s="17">
        <f t="shared" si="30"/>
        <v>592.30000000000007</v>
      </c>
      <c r="O677" s="17">
        <v>485.3</v>
      </c>
      <c r="P677" s="17">
        <v>571</v>
      </c>
      <c r="Q677" s="17">
        <v>366.1</v>
      </c>
      <c r="R677" s="17">
        <f t="shared" si="31"/>
        <v>226.20000000000005</v>
      </c>
      <c r="S677" s="17">
        <v>302</v>
      </c>
      <c r="T677" s="17">
        <f t="shared" si="32"/>
        <v>183.3</v>
      </c>
    </row>
    <row r="678" spans="1:20" x14ac:dyDescent="0.35">
      <c r="A678" s="14" t="s">
        <v>101</v>
      </c>
      <c r="B678" s="15" t="s">
        <v>102</v>
      </c>
      <c r="C678" s="15" t="s">
        <v>93</v>
      </c>
      <c r="D678" s="15" t="s">
        <v>96</v>
      </c>
      <c r="E678" s="15" t="s">
        <v>90</v>
      </c>
      <c r="F678" s="15" t="s">
        <v>67</v>
      </c>
      <c r="G678" s="15" t="s">
        <v>75</v>
      </c>
      <c r="H678" s="15" t="s">
        <v>71</v>
      </c>
      <c r="I678" s="16">
        <v>92512</v>
      </c>
      <c r="J678" s="16">
        <v>82125</v>
      </c>
      <c r="K678" s="16">
        <v>88851</v>
      </c>
      <c r="L678" s="17">
        <v>501.1</v>
      </c>
      <c r="M678" s="17">
        <v>59.2</v>
      </c>
      <c r="N678" s="17">
        <f t="shared" si="30"/>
        <v>441.90000000000003</v>
      </c>
      <c r="O678" s="17">
        <v>363.9</v>
      </c>
      <c r="P678" s="17">
        <v>423.9</v>
      </c>
      <c r="Q678" s="17">
        <v>270.8</v>
      </c>
      <c r="R678" s="17">
        <f t="shared" si="31"/>
        <v>171.10000000000002</v>
      </c>
      <c r="S678" s="17">
        <v>226.2</v>
      </c>
      <c r="T678" s="17">
        <f t="shared" si="32"/>
        <v>137.69999999999999</v>
      </c>
    </row>
    <row r="679" spans="1:20" x14ac:dyDescent="0.35">
      <c r="A679" s="14" t="s">
        <v>101</v>
      </c>
      <c r="B679" s="15" t="s">
        <v>102</v>
      </c>
      <c r="C679" s="15" t="s">
        <v>93</v>
      </c>
      <c r="D679" s="15" t="s">
        <v>96</v>
      </c>
      <c r="E679" s="15" t="s">
        <v>90</v>
      </c>
      <c r="F679" s="15" t="s">
        <v>67</v>
      </c>
      <c r="G679" s="15" t="s">
        <v>76</v>
      </c>
      <c r="H679" s="15" t="s">
        <v>72</v>
      </c>
      <c r="I679" s="16">
        <v>18587</v>
      </c>
      <c r="J679" s="16">
        <v>15862</v>
      </c>
      <c r="K679" s="16">
        <v>18054</v>
      </c>
      <c r="L679" s="17">
        <v>174.4</v>
      </c>
      <c r="M679" s="17">
        <v>20</v>
      </c>
      <c r="N679" s="17">
        <f t="shared" si="30"/>
        <v>154.4</v>
      </c>
      <c r="O679" s="17">
        <v>122.1</v>
      </c>
      <c r="P679" s="17">
        <v>147.69999999999999</v>
      </c>
      <c r="Q679" s="17">
        <v>97.8</v>
      </c>
      <c r="R679" s="17">
        <f t="shared" si="31"/>
        <v>56.600000000000009</v>
      </c>
      <c r="S679" s="17">
        <v>78.2</v>
      </c>
      <c r="T679" s="17">
        <f t="shared" si="32"/>
        <v>43.899999999999991</v>
      </c>
    </row>
    <row r="680" spans="1:20" x14ac:dyDescent="0.35">
      <c r="A680" s="14" t="s">
        <v>101</v>
      </c>
      <c r="B680" s="15" t="s">
        <v>102</v>
      </c>
      <c r="C680" s="15" t="s">
        <v>93</v>
      </c>
      <c r="D680" s="15" t="s">
        <v>96</v>
      </c>
      <c r="E680" s="15" t="s">
        <v>90</v>
      </c>
      <c r="F680" s="15" t="s">
        <v>79</v>
      </c>
      <c r="G680" s="15" t="s">
        <v>95</v>
      </c>
      <c r="H680" s="15" t="s">
        <v>71</v>
      </c>
      <c r="I680" s="16">
        <v>97024</v>
      </c>
      <c r="J680" s="16">
        <v>83343</v>
      </c>
      <c r="K680" s="16">
        <v>94272</v>
      </c>
      <c r="L680" s="17">
        <v>331.2</v>
      </c>
      <c r="M680" s="17">
        <v>35</v>
      </c>
      <c r="N680" s="17">
        <f t="shared" si="30"/>
        <v>296.2</v>
      </c>
      <c r="O680" s="17">
        <v>235.7</v>
      </c>
      <c r="P680" s="17">
        <v>284.7</v>
      </c>
      <c r="Q680" s="17">
        <v>177.9</v>
      </c>
      <c r="R680" s="17">
        <f t="shared" si="31"/>
        <v>118.29999999999998</v>
      </c>
      <c r="S680" s="17">
        <v>144.30000000000001</v>
      </c>
      <c r="T680" s="17">
        <f t="shared" si="32"/>
        <v>91.399999999999977</v>
      </c>
    </row>
    <row r="681" spans="1:20" x14ac:dyDescent="0.35">
      <c r="A681" s="14" t="s">
        <v>101</v>
      </c>
      <c r="B681" s="15" t="s">
        <v>102</v>
      </c>
      <c r="C681" s="15" t="s">
        <v>93</v>
      </c>
      <c r="D681" s="15" t="s">
        <v>96</v>
      </c>
      <c r="E681" s="15" t="s">
        <v>90</v>
      </c>
      <c r="F681" s="15" t="s">
        <v>81</v>
      </c>
      <c r="G681" s="15" t="s">
        <v>82</v>
      </c>
      <c r="H681" s="15" t="s">
        <v>71</v>
      </c>
      <c r="I681" s="16">
        <v>30098</v>
      </c>
      <c r="J681" s="16">
        <v>25817</v>
      </c>
      <c r="K681" s="16">
        <v>28922</v>
      </c>
      <c r="L681" s="17">
        <v>219.4</v>
      </c>
      <c r="M681" s="17">
        <v>26.3</v>
      </c>
      <c r="N681" s="17">
        <f t="shared" si="30"/>
        <v>193.1</v>
      </c>
      <c r="O681" s="17">
        <v>154.6</v>
      </c>
      <c r="P681" s="17">
        <v>185.5</v>
      </c>
      <c r="Q681" s="17">
        <v>121.6</v>
      </c>
      <c r="R681" s="17">
        <f t="shared" si="31"/>
        <v>71.5</v>
      </c>
      <c r="S681" s="17">
        <v>99.7</v>
      </c>
      <c r="T681" s="17">
        <f t="shared" si="32"/>
        <v>54.899999999999991</v>
      </c>
    </row>
    <row r="682" spans="1:20" x14ac:dyDescent="0.35">
      <c r="A682" s="14" t="s">
        <v>101</v>
      </c>
      <c r="B682" s="15" t="s">
        <v>102</v>
      </c>
      <c r="C682" s="15" t="s">
        <v>93</v>
      </c>
      <c r="D682" s="15" t="s">
        <v>96</v>
      </c>
      <c r="E682" s="15" t="s">
        <v>90</v>
      </c>
      <c r="F682" s="15" t="s">
        <v>83</v>
      </c>
      <c r="G682" s="15" t="s">
        <v>84</v>
      </c>
      <c r="H682" s="15" t="s">
        <v>72</v>
      </c>
      <c r="I682" s="16">
        <v>16541</v>
      </c>
      <c r="J682" s="16">
        <v>12706</v>
      </c>
      <c r="K682" s="16">
        <v>15867</v>
      </c>
      <c r="L682" s="17">
        <v>368</v>
      </c>
      <c r="M682" s="17">
        <v>41.5</v>
      </c>
      <c r="N682" s="17">
        <f t="shared" si="30"/>
        <v>326.5</v>
      </c>
      <c r="O682" s="17">
        <v>232.3</v>
      </c>
      <c r="P682" s="17">
        <v>311.39999999999998</v>
      </c>
      <c r="Q682" s="17">
        <v>191.9</v>
      </c>
      <c r="R682" s="17">
        <f t="shared" si="31"/>
        <v>134.6</v>
      </c>
      <c r="S682" s="17">
        <v>137.5</v>
      </c>
      <c r="T682" s="17">
        <f t="shared" si="32"/>
        <v>94.800000000000011</v>
      </c>
    </row>
    <row r="683" spans="1:20" x14ac:dyDescent="0.35">
      <c r="A683" s="14" t="s">
        <v>101</v>
      </c>
      <c r="B683" s="15" t="s">
        <v>102</v>
      </c>
      <c r="C683" s="15" t="s">
        <v>93</v>
      </c>
      <c r="D683" s="15" t="s">
        <v>96</v>
      </c>
      <c r="E683" s="15" t="s">
        <v>91</v>
      </c>
      <c r="F683" s="15" t="s">
        <v>67</v>
      </c>
      <c r="G683" s="15" t="s">
        <v>68</v>
      </c>
      <c r="H683" s="15" t="s">
        <v>69</v>
      </c>
      <c r="I683" s="16">
        <v>176230</v>
      </c>
      <c r="J683" s="16">
        <v>152911</v>
      </c>
      <c r="K683" s="16">
        <v>171595</v>
      </c>
      <c r="L683" s="17">
        <v>769.5</v>
      </c>
      <c r="M683" s="17">
        <v>40.5</v>
      </c>
      <c r="N683" s="17">
        <f t="shared" si="30"/>
        <v>729</v>
      </c>
      <c r="O683" s="17">
        <v>581</v>
      </c>
      <c r="P683" s="17">
        <v>692.3</v>
      </c>
      <c r="Q683" s="17">
        <v>401.7</v>
      </c>
      <c r="R683" s="17">
        <f t="shared" si="31"/>
        <v>327.3</v>
      </c>
      <c r="S683" s="17">
        <v>324.89999999999998</v>
      </c>
      <c r="T683" s="17">
        <f t="shared" si="32"/>
        <v>256.10000000000002</v>
      </c>
    </row>
    <row r="684" spans="1:20" x14ac:dyDescent="0.35">
      <c r="A684" s="14" t="s">
        <v>101</v>
      </c>
      <c r="B684" s="15" t="s">
        <v>102</v>
      </c>
      <c r="C684" s="15" t="s">
        <v>93</v>
      </c>
      <c r="D684" s="15" t="s">
        <v>96</v>
      </c>
      <c r="E684" s="15" t="s">
        <v>91</v>
      </c>
      <c r="F684" s="15" t="s">
        <v>67</v>
      </c>
      <c r="G684" s="15" t="s">
        <v>68</v>
      </c>
      <c r="H684" s="15" t="s">
        <v>70</v>
      </c>
      <c r="I684" s="16">
        <v>49693</v>
      </c>
      <c r="J684" s="16">
        <v>41792</v>
      </c>
      <c r="K684" s="16">
        <v>47979</v>
      </c>
      <c r="L684" s="17">
        <v>260.2</v>
      </c>
      <c r="M684" s="17">
        <v>12.8</v>
      </c>
      <c r="N684" s="17">
        <f t="shared" si="30"/>
        <v>247.39999999999998</v>
      </c>
      <c r="O684" s="17">
        <v>194.4</v>
      </c>
      <c r="P684" s="17">
        <v>237.9</v>
      </c>
      <c r="Q684" s="17">
        <v>137.69999999999999</v>
      </c>
      <c r="R684" s="17">
        <f t="shared" si="31"/>
        <v>109.69999999999999</v>
      </c>
      <c r="S684" s="17">
        <v>109.6</v>
      </c>
      <c r="T684" s="17">
        <f t="shared" si="32"/>
        <v>84.800000000000011</v>
      </c>
    </row>
    <row r="685" spans="1:20" x14ac:dyDescent="0.35">
      <c r="A685" s="14" t="s">
        <v>101</v>
      </c>
      <c r="B685" s="15" t="s">
        <v>102</v>
      </c>
      <c r="C685" s="15" t="s">
        <v>93</v>
      </c>
      <c r="D685" s="15" t="s">
        <v>96</v>
      </c>
      <c r="E685" s="15" t="s">
        <v>91</v>
      </c>
      <c r="F685" s="15" t="s">
        <v>67</v>
      </c>
      <c r="G685" s="15" t="s">
        <v>68</v>
      </c>
      <c r="H685" s="15" t="s">
        <v>71</v>
      </c>
      <c r="I685" s="16">
        <v>105373</v>
      </c>
      <c r="J685" s="16">
        <v>91387</v>
      </c>
      <c r="K685" s="16">
        <v>102400</v>
      </c>
      <c r="L685" s="17">
        <v>675.8</v>
      </c>
      <c r="M685" s="17">
        <v>34</v>
      </c>
      <c r="N685" s="17">
        <f t="shared" si="30"/>
        <v>641.79999999999995</v>
      </c>
      <c r="O685" s="17">
        <v>511.6</v>
      </c>
      <c r="P685" s="17">
        <v>619.79999999999995</v>
      </c>
      <c r="Q685" s="17">
        <v>401.9</v>
      </c>
      <c r="R685" s="17">
        <f t="shared" si="31"/>
        <v>239.89999999999998</v>
      </c>
      <c r="S685" s="17">
        <v>325.39999999999998</v>
      </c>
      <c r="T685" s="17">
        <f t="shared" si="32"/>
        <v>186.20000000000005</v>
      </c>
    </row>
    <row r="686" spans="1:20" x14ac:dyDescent="0.35">
      <c r="A686" s="14" t="s">
        <v>101</v>
      </c>
      <c r="B686" s="15" t="s">
        <v>102</v>
      </c>
      <c r="C686" s="15" t="s">
        <v>93</v>
      </c>
      <c r="D686" s="15" t="s">
        <v>96</v>
      </c>
      <c r="E686" s="15" t="s">
        <v>91</v>
      </c>
      <c r="F686" s="15" t="s">
        <v>67</v>
      </c>
      <c r="G686" s="15" t="s">
        <v>68</v>
      </c>
      <c r="H686" s="15" t="s">
        <v>72</v>
      </c>
      <c r="I686" s="16">
        <v>50612</v>
      </c>
      <c r="J686" s="16">
        <v>43160</v>
      </c>
      <c r="K686" s="16">
        <v>48697</v>
      </c>
      <c r="L686" s="17">
        <v>461.8</v>
      </c>
      <c r="M686" s="17">
        <v>27.5</v>
      </c>
      <c r="N686" s="17">
        <f t="shared" si="30"/>
        <v>434.3</v>
      </c>
      <c r="O686" s="17">
        <v>345.5</v>
      </c>
      <c r="P686" s="17">
        <v>415.1</v>
      </c>
      <c r="Q686" s="17">
        <v>276.89999999999998</v>
      </c>
      <c r="R686" s="17">
        <f t="shared" si="31"/>
        <v>157.40000000000003</v>
      </c>
      <c r="S686" s="17">
        <v>223.1</v>
      </c>
      <c r="T686" s="17">
        <f t="shared" si="32"/>
        <v>122.4</v>
      </c>
    </row>
    <row r="687" spans="1:20" x14ac:dyDescent="0.35">
      <c r="A687" s="14" t="s">
        <v>101</v>
      </c>
      <c r="B687" s="15" t="s">
        <v>102</v>
      </c>
      <c r="C687" s="15" t="s">
        <v>93</v>
      </c>
      <c r="D687" s="15" t="s">
        <v>96</v>
      </c>
      <c r="E687" s="15" t="s">
        <v>91</v>
      </c>
      <c r="F687" s="15" t="s">
        <v>67</v>
      </c>
      <c r="G687" s="15" t="s">
        <v>73</v>
      </c>
      <c r="H687" s="15" t="s">
        <v>71</v>
      </c>
      <c r="I687" s="16">
        <v>23927</v>
      </c>
      <c r="J687" s="16">
        <v>18730</v>
      </c>
      <c r="K687" s="16">
        <v>22954</v>
      </c>
      <c r="L687" s="17">
        <v>160.5</v>
      </c>
      <c r="M687" s="17">
        <v>6.5</v>
      </c>
      <c r="N687" s="17">
        <f t="shared" si="30"/>
        <v>154</v>
      </c>
      <c r="O687" s="17">
        <v>111.8</v>
      </c>
      <c r="P687" s="17">
        <v>146.19999999999999</v>
      </c>
      <c r="Q687" s="17">
        <v>93.6</v>
      </c>
      <c r="R687" s="17">
        <f t="shared" si="31"/>
        <v>60.400000000000006</v>
      </c>
      <c r="S687" s="17">
        <v>68.599999999999994</v>
      </c>
      <c r="T687" s="17">
        <f t="shared" si="32"/>
        <v>43.2</v>
      </c>
    </row>
    <row r="688" spans="1:20" x14ac:dyDescent="0.35">
      <c r="A688" s="14" t="s">
        <v>101</v>
      </c>
      <c r="B688" s="15" t="s">
        <v>102</v>
      </c>
      <c r="C688" s="15" t="s">
        <v>93</v>
      </c>
      <c r="D688" s="15" t="s">
        <v>96</v>
      </c>
      <c r="E688" s="15" t="s">
        <v>91</v>
      </c>
      <c r="F688" s="15" t="s">
        <v>67</v>
      </c>
      <c r="G688" s="15" t="s">
        <v>73</v>
      </c>
      <c r="H688" s="15" t="s">
        <v>72</v>
      </c>
      <c r="I688" s="16">
        <v>14234</v>
      </c>
      <c r="J688" s="16">
        <v>11184</v>
      </c>
      <c r="K688" s="16">
        <v>13773</v>
      </c>
      <c r="L688" s="17">
        <v>122.8</v>
      </c>
      <c r="M688" s="17">
        <v>5.6</v>
      </c>
      <c r="N688" s="17">
        <f t="shared" si="30"/>
        <v>117.2</v>
      </c>
      <c r="O688" s="17">
        <v>84.9</v>
      </c>
      <c r="P688" s="17">
        <v>112.3</v>
      </c>
      <c r="Q688" s="17">
        <v>76.3</v>
      </c>
      <c r="R688" s="17">
        <f t="shared" si="31"/>
        <v>40.900000000000006</v>
      </c>
      <c r="S688" s="17">
        <v>55.7</v>
      </c>
      <c r="T688" s="17">
        <f t="shared" si="32"/>
        <v>29.200000000000003</v>
      </c>
    </row>
    <row r="689" spans="1:20" x14ac:dyDescent="0.35">
      <c r="A689" s="14" t="s">
        <v>101</v>
      </c>
      <c r="B689" s="15" t="s">
        <v>102</v>
      </c>
      <c r="C689" s="15" t="s">
        <v>93</v>
      </c>
      <c r="D689" s="15" t="s">
        <v>96</v>
      </c>
      <c r="E689" s="15" t="s">
        <v>91</v>
      </c>
      <c r="F689" s="15" t="s">
        <v>67</v>
      </c>
      <c r="G689" s="15" t="s">
        <v>74</v>
      </c>
      <c r="H689" s="15" t="s">
        <v>70</v>
      </c>
      <c r="I689" s="16">
        <v>19966</v>
      </c>
      <c r="J689" s="16">
        <v>16840</v>
      </c>
      <c r="K689" s="16">
        <v>19212</v>
      </c>
      <c r="L689" s="17">
        <v>103.2</v>
      </c>
      <c r="M689" s="17">
        <v>4.8</v>
      </c>
      <c r="N689" s="17">
        <f t="shared" si="30"/>
        <v>98.4</v>
      </c>
      <c r="O689" s="17">
        <v>76.8</v>
      </c>
      <c r="P689" s="17">
        <v>94.1</v>
      </c>
      <c r="Q689" s="17">
        <v>55.9</v>
      </c>
      <c r="R689" s="17">
        <f t="shared" si="31"/>
        <v>42.500000000000007</v>
      </c>
      <c r="S689" s="17">
        <v>44.2</v>
      </c>
      <c r="T689" s="17">
        <f t="shared" si="32"/>
        <v>32.599999999999994</v>
      </c>
    </row>
    <row r="690" spans="1:20" x14ac:dyDescent="0.35">
      <c r="A690" s="14" t="s">
        <v>101</v>
      </c>
      <c r="B690" s="15" t="s">
        <v>102</v>
      </c>
      <c r="C690" s="15" t="s">
        <v>93</v>
      </c>
      <c r="D690" s="15" t="s">
        <v>96</v>
      </c>
      <c r="E690" s="15" t="s">
        <v>91</v>
      </c>
      <c r="F690" s="15" t="s">
        <v>67</v>
      </c>
      <c r="G690" s="15" t="s">
        <v>74</v>
      </c>
      <c r="H690" s="15" t="s">
        <v>71</v>
      </c>
      <c r="I690" s="16">
        <v>39919</v>
      </c>
      <c r="J690" s="16">
        <v>34117</v>
      </c>
      <c r="K690" s="16">
        <v>38359</v>
      </c>
      <c r="L690" s="17">
        <v>247.5</v>
      </c>
      <c r="M690" s="17">
        <v>10.7</v>
      </c>
      <c r="N690" s="17">
        <f t="shared" si="30"/>
        <v>236.8</v>
      </c>
      <c r="O690" s="17">
        <v>187.5</v>
      </c>
      <c r="P690" s="17">
        <v>228.3</v>
      </c>
      <c r="Q690" s="17">
        <v>144.9</v>
      </c>
      <c r="R690" s="17">
        <f t="shared" si="31"/>
        <v>91.9</v>
      </c>
      <c r="S690" s="17">
        <v>116.4</v>
      </c>
      <c r="T690" s="17">
        <f t="shared" si="32"/>
        <v>71.099999999999994</v>
      </c>
    </row>
    <row r="691" spans="1:20" x14ac:dyDescent="0.35">
      <c r="A691" s="14" t="s">
        <v>101</v>
      </c>
      <c r="B691" s="15" t="s">
        <v>102</v>
      </c>
      <c r="C691" s="15" t="s">
        <v>93</v>
      </c>
      <c r="D691" s="15" t="s">
        <v>96</v>
      </c>
      <c r="E691" s="15" t="s">
        <v>91</v>
      </c>
      <c r="F691" s="15" t="s">
        <v>67</v>
      </c>
      <c r="G691" s="15" t="s">
        <v>75</v>
      </c>
      <c r="H691" s="15" t="s">
        <v>71</v>
      </c>
      <c r="I691" s="16">
        <v>30901</v>
      </c>
      <c r="J691" s="16">
        <v>26560</v>
      </c>
      <c r="K691" s="16">
        <v>29984</v>
      </c>
      <c r="L691" s="17">
        <v>194.1</v>
      </c>
      <c r="M691" s="17">
        <v>10.1</v>
      </c>
      <c r="N691" s="17">
        <f t="shared" si="30"/>
        <v>184</v>
      </c>
      <c r="O691" s="17">
        <v>147.1</v>
      </c>
      <c r="P691" s="17">
        <v>177</v>
      </c>
      <c r="Q691" s="17">
        <v>116</v>
      </c>
      <c r="R691" s="17">
        <f t="shared" si="31"/>
        <v>68</v>
      </c>
      <c r="S691" s="17">
        <v>94.9</v>
      </c>
      <c r="T691" s="17">
        <f t="shared" si="32"/>
        <v>52.199999999999989</v>
      </c>
    </row>
    <row r="692" spans="1:20" x14ac:dyDescent="0.35">
      <c r="A692" s="14" t="s">
        <v>101</v>
      </c>
      <c r="B692" s="15" t="s">
        <v>102</v>
      </c>
      <c r="C692" s="15" t="s">
        <v>93</v>
      </c>
      <c r="D692" s="15" t="s">
        <v>96</v>
      </c>
      <c r="E692" s="15" t="s">
        <v>91</v>
      </c>
      <c r="F692" s="15" t="s">
        <v>67</v>
      </c>
      <c r="G692" s="15" t="s">
        <v>76</v>
      </c>
      <c r="H692" s="15" t="s">
        <v>72</v>
      </c>
      <c r="I692" s="16">
        <v>38751</v>
      </c>
      <c r="J692" s="16">
        <v>32557</v>
      </c>
      <c r="K692" s="16">
        <v>37634</v>
      </c>
      <c r="L692" s="17">
        <v>404.6</v>
      </c>
      <c r="M692" s="17">
        <v>18.3</v>
      </c>
      <c r="N692" s="17">
        <f t="shared" si="30"/>
        <v>386.3</v>
      </c>
      <c r="O692" s="17">
        <v>302.8</v>
      </c>
      <c r="P692" s="17">
        <v>369.3</v>
      </c>
      <c r="Q692" s="17">
        <v>241.1</v>
      </c>
      <c r="R692" s="17">
        <f t="shared" si="31"/>
        <v>145.20000000000002</v>
      </c>
      <c r="S692" s="17">
        <v>193</v>
      </c>
      <c r="T692" s="17">
        <f t="shared" si="32"/>
        <v>109.80000000000001</v>
      </c>
    </row>
    <row r="693" spans="1:20" x14ac:dyDescent="0.35">
      <c r="A693" s="14" t="s">
        <v>101</v>
      </c>
      <c r="B693" s="15" t="s">
        <v>102</v>
      </c>
      <c r="C693" s="15" t="s">
        <v>93</v>
      </c>
      <c r="D693" s="15" t="s">
        <v>96</v>
      </c>
      <c r="E693" s="15" t="s">
        <v>91</v>
      </c>
      <c r="F693" s="15" t="s">
        <v>79</v>
      </c>
      <c r="G693" s="15" t="s">
        <v>95</v>
      </c>
      <c r="H693" s="15" t="s">
        <v>71</v>
      </c>
      <c r="I693" s="16">
        <v>26973</v>
      </c>
      <c r="J693" s="16">
        <v>22299</v>
      </c>
      <c r="K693" s="16">
        <v>26197</v>
      </c>
      <c r="L693" s="17">
        <v>104.4</v>
      </c>
      <c r="M693" s="17">
        <v>4.3</v>
      </c>
      <c r="N693" s="17">
        <f t="shared" si="30"/>
        <v>100.10000000000001</v>
      </c>
      <c r="O693" s="17">
        <v>76.400000000000006</v>
      </c>
      <c r="P693" s="17">
        <v>95.4</v>
      </c>
      <c r="Q693" s="17">
        <v>59.1</v>
      </c>
      <c r="R693" s="17">
        <f t="shared" si="31"/>
        <v>41.000000000000007</v>
      </c>
      <c r="S693" s="17">
        <v>46.2</v>
      </c>
      <c r="T693" s="17">
        <f t="shared" si="32"/>
        <v>30.200000000000003</v>
      </c>
    </row>
    <row r="694" spans="1:20" x14ac:dyDescent="0.35">
      <c r="A694" s="14" t="s">
        <v>101</v>
      </c>
      <c r="B694" s="15" t="s">
        <v>102</v>
      </c>
      <c r="C694" s="15" t="s">
        <v>93</v>
      </c>
      <c r="D694" s="15" t="s">
        <v>96</v>
      </c>
      <c r="E694" s="15" t="s">
        <v>91</v>
      </c>
      <c r="F694" s="15" t="s">
        <v>81</v>
      </c>
      <c r="G694" s="15" t="s">
        <v>82</v>
      </c>
      <c r="H694" s="15" t="s">
        <v>71</v>
      </c>
      <c r="I694" s="16">
        <v>8841</v>
      </c>
      <c r="J694" s="16">
        <v>7282</v>
      </c>
      <c r="K694" s="16">
        <v>8487</v>
      </c>
      <c r="L694" s="17">
        <v>77.2</v>
      </c>
      <c r="M694" s="17">
        <v>3.3</v>
      </c>
      <c r="N694" s="17">
        <f t="shared" si="30"/>
        <v>73.900000000000006</v>
      </c>
      <c r="O694" s="17">
        <v>56.4</v>
      </c>
      <c r="P694" s="17">
        <v>71.099999999999994</v>
      </c>
      <c r="Q694" s="17">
        <v>45.6</v>
      </c>
      <c r="R694" s="17">
        <f t="shared" si="31"/>
        <v>28.300000000000004</v>
      </c>
      <c r="S694" s="17">
        <v>35.299999999999997</v>
      </c>
      <c r="T694" s="17">
        <f t="shared" si="32"/>
        <v>21.1</v>
      </c>
    </row>
    <row r="695" spans="1:20" x14ac:dyDescent="0.35">
      <c r="A695" s="14" t="s">
        <v>101</v>
      </c>
      <c r="B695" s="15" t="s">
        <v>102</v>
      </c>
      <c r="C695" s="15" t="s">
        <v>93</v>
      </c>
      <c r="D695" s="15" t="s">
        <v>96</v>
      </c>
      <c r="E695" s="15" t="s">
        <v>91</v>
      </c>
      <c r="F695" s="15" t="s">
        <v>83</v>
      </c>
      <c r="G695" s="15" t="s">
        <v>84</v>
      </c>
      <c r="H695" s="15" t="s">
        <v>72</v>
      </c>
      <c r="I695" s="16">
        <v>9616</v>
      </c>
      <c r="J695" s="16">
        <v>7181</v>
      </c>
      <c r="K695" s="16">
        <v>9362</v>
      </c>
      <c r="L695" s="17">
        <v>255.1</v>
      </c>
      <c r="M695" s="17">
        <v>15.2</v>
      </c>
      <c r="N695" s="17">
        <f t="shared" si="30"/>
        <v>239.9</v>
      </c>
      <c r="O695" s="17">
        <v>166.9</v>
      </c>
      <c r="P695" s="17">
        <v>230.7</v>
      </c>
      <c r="Q695" s="17">
        <v>139.80000000000001</v>
      </c>
      <c r="R695" s="17">
        <f t="shared" si="31"/>
        <v>100.1</v>
      </c>
      <c r="S695" s="17">
        <v>98.8</v>
      </c>
      <c r="T695" s="17">
        <f t="shared" si="32"/>
        <v>68.100000000000009</v>
      </c>
    </row>
    <row r="696" spans="1:20" x14ac:dyDescent="0.35">
      <c r="A696" s="14" t="s">
        <v>101</v>
      </c>
      <c r="B696" s="15" t="s">
        <v>102</v>
      </c>
      <c r="C696" s="15" t="s">
        <v>93</v>
      </c>
      <c r="D696" s="15" t="s">
        <v>96</v>
      </c>
      <c r="E696" s="15" t="s">
        <v>92</v>
      </c>
      <c r="F696" s="15" t="s">
        <v>67</v>
      </c>
      <c r="G696" s="15" t="s">
        <v>68</v>
      </c>
      <c r="H696" s="15" t="s">
        <v>69</v>
      </c>
      <c r="I696" s="16">
        <v>172887</v>
      </c>
      <c r="J696" s="16">
        <v>129847</v>
      </c>
      <c r="K696" s="16">
        <v>167577</v>
      </c>
      <c r="L696" s="17">
        <v>711.8</v>
      </c>
      <c r="M696" s="17">
        <v>61.8</v>
      </c>
      <c r="N696" s="17">
        <f t="shared" si="30"/>
        <v>650</v>
      </c>
      <c r="O696" s="17">
        <v>449.6</v>
      </c>
      <c r="P696" s="17">
        <v>617.79999999999995</v>
      </c>
      <c r="Q696" s="17">
        <v>361.9</v>
      </c>
      <c r="R696" s="17">
        <f t="shared" si="31"/>
        <v>288.10000000000002</v>
      </c>
      <c r="S696" s="17">
        <v>254</v>
      </c>
      <c r="T696" s="17">
        <f t="shared" si="32"/>
        <v>195.60000000000002</v>
      </c>
    </row>
    <row r="697" spans="1:20" x14ac:dyDescent="0.35">
      <c r="A697" s="14" t="s">
        <v>101</v>
      </c>
      <c r="B697" s="15" t="s">
        <v>102</v>
      </c>
      <c r="C697" s="15" t="s">
        <v>93</v>
      </c>
      <c r="D697" s="15" t="s">
        <v>96</v>
      </c>
      <c r="E697" s="15" t="s">
        <v>92</v>
      </c>
      <c r="F697" s="15" t="s">
        <v>67</v>
      </c>
      <c r="G697" s="15" t="s">
        <v>68</v>
      </c>
      <c r="H697" s="15" t="s">
        <v>70</v>
      </c>
      <c r="I697" s="16">
        <v>149343</v>
      </c>
      <c r="J697" s="16">
        <v>108945</v>
      </c>
      <c r="K697" s="16">
        <v>144450</v>
      </c>
      <c r="L697" s="17">
        <v>712.7</v>
      </c>
      <c r="M697" s="17">
        <v>52.1</v>
      </c>
      <c r="N697" s="17">
        <f t="shared" si="30"/>
        <v>660.6</v>
      </c>
      <c r="O697" s="17">
        <v>449.2</v>
      </c>
      <c r="P697" s="17">
        <v>635</v>
      </c>
      <c r="Q697" s="17">
        <v>374.7</v>
      </c>
      <c r="R697" s="17">
        <f t="shared" si="31"/>
        <v>285.90000000000003</v>
      </c>
      <c r="S697" s="17">
        <v>259.39999999999998</v>
      </c>
      <c r="T697" s="17">
        <f t="shared" si="32"/>
        <v>189.8</v>
      </c>
    </row>
    <row r="698" spans="1:20" x14ac:dyDescent="0.35">
      <c r="A698" s="14" t="s">
        <v>101</v>
      </c>
      <c r="B698" s="15" t="s">
        <v>102</v>
      </c>
      <c r="C698" s="15" t="s">
        <v>93</v>
      </c>
      <c r="D698" s="15" t="s">
        <v>96</v>
      </c>
      <c r="E698" s="15" t="s">
        <v>92</v>
      </c>
      <c r="F698" s="15" t="s">
        <v>67</v>
      </c>
      <c r="G698" s="15" t="s">
        <v>68</v>
      </c>
      <c r="H698" s="15" t="s">
        <v>71</v>
      </c>
      <c r="I698" s="16">
        <v>191775</v>
      </c>
      <c r="J698" s="16">
        <v>143014</v>
      </c>
      <c r="K698" s="16">
        <v>185217</v>
      </c>
      <c r="L698" s="17">
        <v>1129.5999999999999</v>
      </c>
      <c r="M698" s="17">
        <v>90.9</v>
      </c>
      <c r="N698" s="17">
        <f t="shared" si="30"/>
        <v>1038.6999999999998</v>
      </c>
      <c r="O698" s="17">
        <v>714.4</v>
      </c>
      <c r="P698" s="17">
        <v>993.1</v>
      </c>
      <c r="Q698" s="17">
        <v>629.20000000000005</v>
      </c>
      <c r="R698" s="17">
        <f t="shared" si="31"/>
        <v>409.49999999999977</v>
      </c>
      <c r="S698" s="17">
        <v>439.6</v>
      </c>
      <c r="T698" s="17">
        <f t="shared" si="32"/>
        <v>274.79999999999995</v>
      </c>
    </row>
    <row r="699" spans="1:20" x14ac:dyDescent="0.35">
      <c r="A699" s="14" t="s">
        <v>101</v>
      </c>
      <c r="B699" s="15" t="s">
        <v>102</v>
      </c>
      <c r="C699" s="15" t="s">
        <v>93</v>
      </c>
      <c r="D699" s="15" t="s">
        <v>96</v>
      </c>
      <c r="E699" s="15" t="s">
        <v>92</v>
      </c>
      <c r="F699" s="15" t="s">
        <v>67</v>
      </c>
      <c r="G699" s="15" t="s">
        <v>68</v>
      </c>
      <c r="H699" s="15" t="s">
        <v>72</v>
      </c>
      <c r="I699" s="16">
        <v>43798</v>
      </c>
      <c r="J699" s="16">
        <v>31944</v>
      </c>
      <c r="K699" s="16">
        <v>42415</v>
      </c>
      <c r="L699" s="17">
        <v>359.1</v>
      </c>
      <c r="M699" s="17">
        <v>31.1</v>
      </c>
      <c r="N699" s="17">
        <f t="shared" si="30"/>
        <v>328</v>
      </c>
      <c r="O699" s="17">
        <v>219.7</v>
      </c>
      <c r="P699" s="17">
        <v>314.89999999999998</v>
      </c>
      <c r="Q699" s="17">
        <v>209.1</v>
      </c>
      <c r="R699" s="17">
        <f t="shared" si="31"/>
        <v>118.9</v>
      </c>
      <c r="S699" s="17">
        <v>143.30000000000001</v>
      </c>
      <c r="T699" s="17">
        <f t="shared" si="32"/>
        <v>76.399999999999977</v>
      </c>
    </row>
    <row r="700" spans="1:20" x14ac:dyDescent="0.35">
      <c r="A700" s="14" t="s">
        <v>101</v>
      </c>
      <c r="B700" s="15" t="s">
        <v>102</v>
      </c>
      <c r="C700" s="15" t="s">
        <v>93</v>
      </c>
      <c r="D700" s="15" t="s">
        <v>96</v>
      </c>
      <c r="E700" s="15" t="s">
        <v>92</v>
      </c>
      <c r="F700" s="15" t="s">
        <v>67</v>
      </c>
      <c r="G700" s="15" t="s">
        <v>73</v>
      </c>
      <c r="H700" s="15" t="s">
        <v>71</v>
      </c>
      <c r="I700" s="16">
        <v>48308</v>
      </c>
      <c r="J700" s="16">
        <v>33499</v>
      </c>
      <c r="K700" s="16">
        <v>47003</v>
      </c>
      <c r="L700" s="17">
        <v>298.5</v>
      </c>
      <c r="M700" s="17">
        <v>24.8</v>
      </c>
      <c r="N700" s="17">
        <f t="shared" si="30"/>
        <v>273.7</v>
      </c>
      <c r="O700" s="17">
        <v>174.3</v>
      </c>
      <c r="P700" s="17">
        <v>262.89999999999998</v>
      </c>
      <c r="Q700" s="17">
        <v>172.5</v>
      </c>
      <c r="R700" s="17">
        <f t="shared" si="31"/>
        <v>101.19999999999999</v>
      </c>
      <c r="S700" s="17">
        <v>111.7</v>
      </c>
      <c r="T700" s="17">
        <f t="shared" si="32"/>
        <v>62.600000000000009</v>
      </c>
    </row>
    <row r="701" spans="1:20" x14ac:dyDescent="0.35">
      <c r="A701" s="14" t="s">
        <v>101</v>
      </c>
      <c r="B701" s="15" t="s">
        <v>102</v>
      </c>
      <c r="C701" s="15" t="s">
        <v>93</v>
      </c>
      <c r="D701" s="15" t="s">
        <v>96</v>
      </c>
      <c r="E701" s="15" t="s">
        <v>92</v>
      </c>
      <c r="F701" s="15" t="s">
        <v>67</v>
      </c>
      <c r="G701" s="15" t="s">
        <v>73</v>
      </c>
      <c r="H701" s="15" t="s">
        <v>72</v>
      </c>
      <c r="I701" s="16">
        <v>14878</v>
      </c>
      <c r="J701" s="16">
        <v>10208</v>
      </c>
      <c r="K701" s="16">
        <v>14458</v>
      </c>
      <c r="L701" s="17">
        <v>125.1</v>
      </c>
      <c r="M701" s="17">
        <v>10.5</v>
      </c>
      <c r="N701" s="17">
        <f t="shared" si="30"/>
        <v>114.6</v>
      </c>
      <c r="O701" s="17">
        <v>72.3</v>
      </c>
      <c r="P701" s="17">
        <v>110.1</v>
      </c>
      <c r="Q701" s="17">
        <v>72.400000000000006</v>
      </c>
      <c r="R701" s="17">
        <f t="shared" si="31"/>
        <v>42.199999999999989</v>
      </c>
      <c r="S701" s="17">
        <v>46</v>
      </c>
      <c r="T701" s="17">
        <f t="shared" si="32"/>
        <v>26.299999999999997</v>
      </c>
    </row>
    <row r="702" spans="1:20" x14ac:dyDescent="0.35">
      <c r="A702" s="14" t="s">
        <v>101</v>
      </c>
      <c r="B702" s="15" t="s">
        <v>102</v>
      </c>
      <c r="C702" s="15" t="s">
        <v>93</v>
      </c>
      <c r="D702" s="15" t="s">
        <v>96</v>
      </c>
      <c r="E702" s="15" t="s">
        <v>92</v>
      </c>
      <c r="F702" s="15" t="s">
        <v>67</v>
      </c>
      <c r="G702" s="15" t="s">
        <v>74</v>
      </c>
      <c r="H702" s="15" t="s">
        <v>70</v>
      </c>
      <c r="I702" s="16">
        <v>67326</v>
      </c>
      <c r="J702" s="16">
        <v>48751</v>
      </c>
      <c r="K702" s="16">
        <v>65393</v>
      </c>
      <c r="L702" s="17">
        <v>319.39999999999998</v>
      </c>
      <c r="M702" s="17">
        <v>27.4</v>
      </c>
      <c r="N702" s="17">
        <f t="shared" si="30"/>
        <v>292</v>
      </c>
      <c r="O702" s="17">
        <v>194</v>
      </c>
      <c r="P702" s="17">
        <v>277.89999999999998</v>
      </c>
      <c r="Q702" s="17">
        <v>168.1</v>
      </c>
      <c r="R702" s="17">
        <f t="shared" si="31"/>
        <v>123.9</v>
      </c>
      <c r="S702" s="17">
        <v>114.5</v>
      </c>
      <c r="T702" s="17">
        <f t="shared" si="32"/>
        <v>79.5</v>
      </c>
    </row>
    <row r="703" spans="1:20" x14ac:dyDescent="0.35">
      <c r="A703" s="14" t="s">
        <v>101</v>
      </c>
      <c r="B703" s="15" t="s">
        <v>102</v>
      </c>
      <c r="C703" s="15" t="s">
        <v>93</v>
      </c>
      <c r="D703" s="15" t="s">
        <v>96</v>
      </c>
      <c r="E703" s="15" t="s">
        <v>92</v>
      </c>
      <c r="F703" s="15" t="s">
        <v>67</v>
      </c>
      <c r="G703" s="15" t="s">
        <v>74</v>
      </c>
      <c r="H703" s="15" t="s">
        <v>71</v>
      </c>
      <c r="I703" s="16">
        <v>76598</v>
      </c>
      <c r="J703" s="16">
        <v>56017</v>
      </c>
      <c r="K703" s="16">
        <v>73494</v>
      </c>
      <c r="L703" s="17">
        <v>444.3</v>
      </c>
      <c r="M703" s="17">
        <v>34.299999999999997</v>
      </c>
      <c r="N703" s="17">
        <f t="shared" si="30"/>
        <v>410</v>
      </c>
      <c r="O703" s="17">
        <v>276.2</v>
      </c>
      <c r="P703" s="17">
        <v>388.8</v>
      </c>
      <c r="Q703" s="17">
        <v>259</v>
      </c>
      <c r="R703" s="17">
        <f t="shared" si="31"/>
        <v>151</v>
      </c>
      <c r="S703" s="17">
        <v>177.1</v>
      </c>
      <c r="T703" s="17">
        <f t="shared" si="32"/>
        <v>99.1</v>
      </c>
    </row>
    <row r="704" spans="1:20" x14ac:dyDescent="0.35">
      <c r="A704" s="14" t="s">
        <v>101</v>
      </c>
      <c r="B704" s="15" t="s">
        <v>102</v>
      </c>
      <c r="C704" s="15" t="s">
        <v>93</v>
      </c>
      <c r="D704" s="15" t="s">
        <v>96</v>
      </c>
      <c r="E704" s="15" t="s">
        <v>92</v>
      </c>
      <c r="F704" s="15" t="s">
        <v>67</v>
      </c>
      <c r="G704" s="15" t="s">
        <v>75</v>
      </c>
      <c r="H704" s="15" t="s">
        <v>71</v>
      </c>
      <c r="I704" s="16">
        <v>54624</v>
      </c>
      <c r="J704" s="16">
        <v>40521</v>
      </c>
      <c r="K704" s="16">
        <v>52540</v>
      </c>
      <c r="L704" s="17">
        <v>323.3</v>
      </c>
      <c r="M704" s="17">
        <v>23.7</v>
      </c>
      <c r="N704" s="17">
        <f t="shared" si="30"/>
        <v>299.60000000000002</v>
      </c>
      <c r="O704" s="17">
        <v>206.1</v>
      </c>
      <c r="P704" s="17">
        <v>289.10000000000002</v>
      </c>
      <c r="Q704" s="17">
        <v>189.5</v>
      </c>
      <c r="R704" s="17">
        <f t="shared" si="31"/>
        <v>110.10000000000002</v>
      </c>
      <c r="S704" s="17">
        <v>132.5</v>
      </c>
      <c r="T704" s="17">
        <f t="shared" si="32"/>
        <v>73.599999999999994</v>
      </c>
    </row>
    <row r="705" spans="1:20" x14ac:dyDescent="0.35">
      <c r="A705" s="14" t="s">
        <v>101</v>
      </c>
      <c r="B705" s="15" t="s">
        <v>102</v>
      </c>
      <c r="C705" s="15" t="s">
        <v>93</v>
      </c>
      <c r="D705" s="15" t="s">
        <v>96</v>
      </c>
      <c r="E705" s="15" t="s">
        <v>92</v>
      </c>
      <c r="F705" s="15" t="s">
        <v>67</v>
      </c>
      <c r="G705" s="15" t="s">
        <v>76</v>
      </c>
      <c r="H705" s="15" t="s">
        <v>72</v>
      </c>
      <c r="I705" s="16">
        <v>10052</v>
      </c>
      <c r="J705" s="16">
        <v>7297</v>
      </c>
      <c r="K705" s="16">
        <v>9675</v>
      </c>
      <c r="L705" s="17">
        <v>97.9</v>
      </c>
      <c r="M705" s="17">
        <v>7.9</v>
      </c>
      <c r="N705" s="17">
        <f t="shared" si="30"/>
        <v>90</v>
      </c>
      <c r="O705" s="17">
        <v>60.7</v>
      </c>
      <c r="P705" s="17">
        <v>86</v>
      </c>
      <c r="Q705" s="17">
        <v>54.7</v>
      </c>
      <c r="R705" s="17">
        <f t="shared" si="31"/>
        <v>35.299999999999997</v>
      </c>
      <c r="S705" s="17">
        <v>37.200000000000003</v>
      </c>
      <c r="T705" s="17">
        <f t="shared" si="32"/>
        <v>23.5</v>
      </c>
    </row>
    <row r="706" spans="1:20" x14ac:dyDescent="0.35">
      <c r="A706" s="14" t="s">
        <v>101</v>
      </c>
      <c r="B706" s="15" t="s">
        <v>102</v>
      </c>
      <c r="C706" s="15" t="s">
        <v>93</v>
      </c>
      <c r="D706" s="15" t="s">
        <v>96</v>
      </c>
      <c r="E706" s="15" t="s">
        <v>92</v>
      </c>
      <c r="F706" s="15" t="s">
        <v>79</v>
      </c>
      <c r="G706" s="15" t="s">
        <v>95</v>
      </c>
      <c r="H706" s="15" t="s">
        <v>71</v>
      </c>
      <c r="I706" s="16">
        <v>50006</v>
      </c>
      <c r="J706" s="16">
        <v>36185</v>
      </c>
      <c r="K706" s="16">
        <v>48447</v>
      </c>
      <c r="L706" s="17">
        <v>185.3</v>
      </c>
      <c r="M706" s="17">
        <v>15.8</v>
      </c>
      <c r="N706" s="17">
        <f t="shared" si="30"/>
        <v>169.5</v>
      </c>
      <c r="O706" s="17">
        <v>113.5</v>
      </c>
      <c r="P706" s="17">
        <v>162.5</v>
      </c>
      <c r="Q706" s="17">
        <v>101.6</v>
      </c>
      <c r="R706" s="17">
        <f t="shared" si="31"/>
        <v>67.900000000000006</v>
      </c>
      <c r="S706" s="17">
        <v>68.8</v>
      </c>
      <c r="T706" s="17">
        <f t="shared" si="32"/>
        <v>44.7</v>
      </c>
    </row>
    <row r="707" spans="1:20" x14ac:dyDescent="0.35">
      <c r="A707" s="14" t="s">
        <v>101</v>
      </c>
      <c r="B707" s="15" t="s">
        <v>102</v>
      </c>
      <c r="C707" s="15" t="s">
        <v>93</v>
      </c>
      <c r="D707" s="15" t="s">
        <v>96</v>
      </c>
      <c r="E707" s="15" t="s">
        <v>92</v>
      </c>
      <c r="F707" s="15" t="s">
        <v>81</v>
      </c>
      <c r="G707" s="15" t="s">
        <v>82</v>
      </c>
      <c r="H707" s="15" t="s">
        <v>71</v>
      </c>
      <c r="I707" s="16">
        <v>19662</v>
      </c>
      <c r="J707" s="16">
        <v>13966</v>
      </c>
      <c r="K707" s="16">
        <v>18908</v>
      </c>
      <c r="L707" s="17">
        <v>157.19999999999999</v>
      </c>
      <c r="M707" s="17">
        <v>13.2</v>
      </c>
      <c r="N707" s="17">
        <f t="shared" si="30"/>
        <v>144</v>
      </c>
      <c r="O707" s="17">
        <v>95</v>
      </c>
      <c r="P707" s="17">
        <v>137.19999999999999</v>
      </c>
      <c r="Q707" s="17">
        <v>87.9</v>
      </c>
      <c r="R707" s="17">
        <f t="shared" si="31"/>
        <v>56.099999999999994</v>
      </c>
      <c r="S707" s="17">
        <v>58.5</v>
      </c>
      <c r="T707" s="17">
        <f t="shared" si="32"/>
        <v>36.5</v>
      </c>
    </row>
    <row r="708" spans="1:20" x14ac:dyDescent="0.35">
      <c r="A708" s="14" t="s">
        <v>101</v>
      </c>
      <c r="B708" s="15" t="s">
        <v>102</v>
      </c>
      <c r="C708" s="15" t="s">
        <v>93</v>
      </c>
      <c r="D708" s="15" t="s">
        <v>96</v>
      </c>
      <c r="E708" s="15" t="s">
        <v>92</v>
      </c>
      <c r="F708" s="15" t="s">
        <v>83</v>
      </c>
      <c r="G708" s="15" t="s">
        <v>84</v>
      </c>
      <c r="H708" s="15" t="s">
        <v>72</v>
      </c>
      <c r="I708" s="16">
        <v>8458</v>
      </c>
      <c r="J708" s="16">
        <v>5564</v>
      </c>
      <c r="K708" s="16">
        <v>8166</v>
      </c>
      <c r="L708" s="17">
        <v>213.9</v>
      </c>
      <c r="M708" s="17">
        <v>19</v>
      </c>
      <c r="N708" s="17">
        <f t="shared" ref="N708:N771" si="33">L708-M708</f>
        <v>194.9</v>
      </c>
      <c r="O708" s="17">
        <v>118.5</v>
      </c>
      <c r="P708" s="17">
        <v>186.5</v>
      </c>
      <c r="Q708" s="17">
        <v>111.9</v>
      </c>
      <c r="R708" s="17">
        <f t="shared" ref="R708:R771" si="34">N708-Q708</f>
        <v>83</v>
      </c>
      <c r="S708" s="17">
        <v>69.400000000000006</v>
      </c>
      <c r="T708" s="17">
        <f t="shared" ref="T708:T771" si="35">O708-S708</f>
        <v>49.099999999999994</v>
      </c>
    </row>
    <row r="709" spans="1:20" x14ac:dyDescent="0.35">
      <c r="A709" s="14" t="s">
        <v>101</v>
      </c>
      <c r="B709" s="15" t="s">
        <v>102</v>
      </c>
      <c r="C709" s="15" t="s">
        <v>93</v>
      </c>
      <c r="D709" s="15" t="s">
        <v>97</v>
      </c>
      <c r="E709" s="15" t="s">
        <v>66</v>
      </c>
      <c r="F709" s="15" t="s">
        <v>67</v>
      </c>
      <c r="G709" s="15" t="s">
        <v>68</v>
      </c>
      <c r="H709" s="15" t="s">
        <v>69</v>
      </c>
      <c r="I709" s="16">
        <v>109770</v>
      </c>
      <c r="J709" s="16">
        <v>98867</v>
      </c>
      <c r="K709" s="16">
        <v>107021</v>
      </c>
      <c r="L709" s="17">
        <v>532.5</v>
      </c>
      <c r="M709" s="17">
        <v>71.7</v>
      </c>
      <c r="N709" s="17">
        <f t="shared" si="33"/>
        <v>460.8</v>
      </c>
      <c r="O709" s="17">
        <v>392.3</v>
      </c>
      <c r="P709" s="17">
        <v>444.4</v>
      </c>
      <c r="Q709" s="17">
        <v>257.39999999999998</v>
      </c>
      <c r="R709" s="17">
        <f t="shared" si="34"/>
        <v>203.40000000000003</v>
      </c>
      <c r="S709" s="17">
        <v>222.2</v>
      </c>
      <c r="T709" s="17">
        <f t="shared" si="35"/>
        <v>170.10000000000002</v>
      </c>
    </row>
    <row r="710" spans="1:20" x14ac:dyDescent="0.35">
      <c r="A710" s="14" t="s">
        <v>101</v>
      </c>
      <c r="B710" s="15" t="s">
        <v>102</v>
      </c>
      <c r="C710" s="15" t="s">
        <v>93</v>
      </c>
      <c r="D710" s="15" t="s">
        <v>97</v>
      </c>
      <c r="E710" s="15" t="s">
        <v>66</v>
      </c>
      <c r="F710" s="15" t="s">
        <v>67</v>
      </c>
      <c r="G710" s="15" t="s">
        <v>68</v>
      </c>
      <c r="H710" s="15" t="s">
        <v>70</v>
      </c>
      <c r="I710" s="16">
        <v>138830</v>
      </c>
      <c r="J710" s="16">
        <v>120888</v>
      </c>
      <c r="K710" s="16">
        <v>135632</v>
      </c>
      <c r="L710" s="17">
        <v>801</v>
      </c>
      <c r="M710" s="17">
        <v>119</v>
      </c>
      <c r="N710" s="17">
        <f t="shared" si="33"/>
        <v>682</v>
      </c>
      <c r="O710" s="17">
        <v>565.79999999999995</v>
      </c>
      <c r="P710" s="17">
        <v>650.4</v>
      </c>
      <c r="Q710" s="17">
        <v>394</v>
      </c>
      <c r="R710" s="17">
        <f t="shared" si="34"/>
        <v>288</v>
      </c>
      <c r="S710" s="17">
        <v>331.2</v>
      </c>
      <c r="T710" s="17">
        <f t="shared" si="35"/>
        <v>234.59999999999997</v>
      </c>
    </row>
    <row r="711" spans="1:20" x14ac:dyDescent="0.35">
      <c r="A711" s="14" t="s">
        <v>101</v>
      </c>
      <c r="B711" s="15" t="s">
        <v>102</v>
      </c>
      <c r="C711" s="15" t="s">
        <v>93</v>
      </c>
      <c r="D711" s="15" t="s">
        <v>97</v>
      </c>
      <c r="E711" s="15" t="s">
        <v>66</v>
      </c>
      <c r="F711" s="15" t="s">
        <v>67</v>
      </c>
      <c r="G711" s="15" t="s">
        <v>68</v>
      </c>
      <c r="H711" s="15" t="s">
        <v>71</v>
      </c>
      <c r="I711" s="16">
        <v>378814</v>
      </c>
      <c r="J711" s="16">
        <v>333022</v>
      </c>
      <c r="K711" s="16">
        <v>368257</v>
      </c>
      <c r="L711" s="17">
        <v>2617.9</v>
      </c>
      <c r="M711" s="17">
        <v>362.7</v>
      </c>
      <c r="N711" s="17">
        <f t="shared" si="33"/>
        <v>2255.2000000000003</v>
      </c>
      <c r="O711" s="17">
        <v>1882.4</v>
      </c>
      <c r="P711" s="17">
        <v>2183.3000000000002</v>
      </c>
      <c r="Q711" s="17">
        <v>1405.2</v>
      </c>
      <c r="R711" s="17">
        <f t="shared" si="34"/>
        <v>850.00000000000023</v>
      </c>
      <c r="S711" s="17">
        <v>1196.4000000000001</v>
      </c>
      <c r="T711" s="17">
        <f t="shared" si="35"/>
        <v>686</v>
      </c>
    </row>
    <row r="712" spans="1:20" x14ac:dyDescent="0.35">
      <c r="A712" s="14" t="s">
        <v>101</v>
      </c>
      <c r="B712" s="15" t="s">
        <v>102</v>
      </c>
      <c r="C712" s="15" t="s">
        <v>93</v>
      </c>
      <c r="D712" s="15" t="s">
        <v>97</v>
      </c>
      <c r="E712" s="15" t="s">
        <v>66</v>
      </c>
      <c r="F712" s="15" t="s">
        <v>67</v>
      </c>
      <c r="G712" s="15" t="s">
        <v>68</v>
      </c>
      <c r="H712" s="15" t="s">
        <v>72</v>
      </c>
      <c r="I712" s="16">
        <v>127643</v>
      </c>
      <c r="J712" s="16">
        <v>112836</v>
      </c>
      <c r="K712" s="16">
        <v>123497</v>
      </c>
      <c r="L712" s="17">
        <v>1231.3</v>
      </c>
      <c r="M712" s="17">
        <v>178.8</v>
      </c>
      <c r="N712" s="17">
        <f t="shared" si="33"/>
        <v>1052.5</v>
      </c>
      <c r="O712" s="17">
        <v>891.8</v>
      </c>
      <c r="P712" s="17">
        <v>1020</v>
      </c>
      <c r="Q712" s="17">
        <v>680.8</v>
      </c>
      <c r="R712" s="17">
        <f t="shared" si="34"/>
        <v>371.70000000000005</v>
      </c>
      <c r="S712" s="17">
        <v>584.79999999999995</v>
      </c>
      <c r="T712" s="17">
        <f t="shared" si="35"/>
        <v>307</v>
      </c>
    </row>
    <row r="713" spans="1:20" x14ac:dyDescent="0.35">
      <c r="A713" s="14" t="s">
        <v>101</v>
      </c>
      <c r="B713" s="15" t="s">
        <v>102</v>
      </c>
      <c r="C713" s="15" t="s">
        <v>93</v>
      </c>
      <c r="D713" s="15" t="s">
        <v>97</v>
      </c>
      <c r="E713" s="15" t="s">
        <v>66</v>
      </c>
      <c r="F713" s="15" t="s">
        <v>67</v>
      </c>
      <c r="G713" s="15" t="s">
        <v>73</v>
      </c>
      <c r="H713" s="15" t="s">
        <v>71</v>
      </c>
      <c r="I713" s="16">
        <v>82270</v>
      </c>
      <c r="J713" s="16">
        <v>66845</v>
      </c>
      <c r="K713" s="16">
        <v>80237</v>
      </c>
      <c r="L713" s="17">
        <v>596.79999999999995</v>
      </c>
      <c r="M713" s="17">
        <v>84.2</v>
      </c>
      <c r="N713" s="17">
        <f t="shared" si="33"/>
        <v>512.59999999999991</v>
      </c>
      <c r="O713" s="17">
        <v>394.6</v>
      </c>
      <c r="P713" s="17">
        <v>493.2</v>
      </c>
      <c r="Q713" s="17">
        <v>317.3</v>
      </c>
      <c r="R713" s="17">
        <f t="shared" si="34"/>
        <v>195.2999999999999</v>
      </c>
      <c r="S713" s="17">
        <v>250</v>
      </c>
      <c r="T713" s="17">
        <f t="shared" si="35"/>
        <v>144.60000000000002</v>
      </c>
    </row>
    <row r="714" spans="1:20" x14ac:dyDescent="0.35">
      <c r="A714" s="14" t="s">
        <v>101</v>
      </c>
      <c r="B714" s="15" t="s">
        <v>102</v>
      </c>
      <c r="C714" s="15" t="s">
        <v>93</v>
      </c>
      <c r="D714" s="15" t="s">
        <v>97</v>
      </c>
      <c r="E714" s="15" t="s">
        <v>66</v>
      </c>
      <c r="F714" s="15" t="s">
        <v>67</v>
      </c>
      <c r="G714" s="15" t="s">
        <v>73</v>
      </c>
      <c r="H714" s="15" t="s">
        <v>72</v>
      </c>
      <c r="I714" s="16">
        <v>41114</v>
      </c>
      <c r="J714" s="16">
        <v>32932</v>
      </c>
      <c r="K714" s="16">
        <v>40006</v>
      </c>
      <c r="L714" s="17">
        <v>394.8</v>
      </c>
      <c r="M714" s="17">
        <v>56.3</v>
      </c>
      <c r="N714" s="17">
        <f t="shared" si="33"/>
        <v>338.5</v>
      </c>
      <c r="O714" s="17">
        <v>259.8</v>
      </c>
      <c r="P714" s="17">
        <v>325.89999999999998</v>
      </c>
      <c r="Q714" s="17">
        <v>211.9</v>
      </c>
      <c r="R714" s="17">
        <f t="shared" si="34"/>
        <v>126.6</v>
      </c>
      <c r="S714" s="17">
        <v>163.80000000000001</v>
      </c>
      <c r="T714" s="17">
        <f t="shared" si="35"/>
        <v>96</v>
      </c>
    </row>
    <row r="715" spans="1:20" x14ac:dyDescent="0.35">
      <c r="A715" s="14" t="s">
        <v>101</v>
      </c>
      <c r="B715" s="15" t="s">
        <v>102</v>
      </c>
      <c r="C715" s="15" t="s">
        <v>93</v>
      </c>
      <c r="D715" s="15" t="s">
        <v>97</v>
      </c>
      <c r="E715" s="15" t="s">
        <v>66</v>
      </c>
      <c r="F715" s="15" t="s">
        <v>67</v>
      </c>
      <c r="G715" s="15" t="s">
        <v>74</v>
      </c>
      <c r="H715" s="15" t="s">
        <v>70</v>
      </c>
      <c r="I715" s="16">
        <v>62024</v>
      </c>
      <c r="J715" s="16">
        <v>53523</v>
      </c>
      <c r="K715" s="16">
        <v>59959</v>
      </c>
      <c r="L715" s="17">
        <v>344.4</v>
      </c>
      <c r="M715" s="17">
        <v>49.5</v>
      </c>
      <c r="N715" s="17">
        <f t="shared" si="33"/>
        <v>294.89999999999998</v>
      </c>
      <c r="O715" s="17">
        <v>242.7</v>
      </c>
      <c r="P715" s="17">
        <v>285.7</v>
      </c>
      <c r="Q715" s="17">
        <v>168.7</v>
      </c>
      <c r="R715" s="17">
        <f t="shared" si="34"/>
        <v>126.19999999999999</v>
      </c>
      <c r="S715" s="17">
        <v>142.4</v>
      </c>
      <c r="T715" s="17">
        <f t="shared" si="35"/>
        <v>100.29999999999998</v>
      </c>
    </row>
    <row r="716" spans="1:20" x14ac:dyDescent="0.35">
      <c r="A716" s="14" t="s">
        <v>101</v>
      </c>
      <c r="B716" s="15" t="s">
        <v>102</v>
      </c>
      <c r="C716" s="15" t="s">
        <v>93</v>
      </c>
      <c r="D716" s="15" t="s">
        <v>97</v>
      </c>
      <c r="E716" s="15" t="s">
        <v>66</v>
      </c>
      <c r="F716" s="15" t="s">
        <v>67</v>
      </c>
      <c r="G716" s="15" t="s">
        <v>74</v>
      </c>
      <c r="H716" s="15" t="s">
        <v>71</v>
      </c>
      <c r="I716" s="16">
        <v>147352</v>
      </c>
      <c r="J716" s="16">
        <v>131136</v>
      </c>
      <c r="K716" s="16">
        <v>142189</v>
      </c>
      <c r="L716" s="17">
        <v>1045</v>
      </c>
      <c r="M716" s="17">
        <v>148.1</v>
      </c>
      <c r="N716" s="17">
        <f t="shared" si="33"/>
        <v>896.9</v>
      </c>
      <c r="O716" s="17">
        <v>761.2</v>
      </c>
      <c r="P716" s="17">
        <v>869.1</v>
      </c>
      <c r="Q716" s="17">
        <v>558.1</v>
      </c>
      <c r="R716" s="17">
        <f t="shared" si="34"/>
        <v>338.79999999999995</v>
      </c>
      <c r="S716" s="17">
        <v>478.2</v>
      </c>
      <c r="T716" s="17">
        <f t="shared" si="35"/>
        <v>283.00000000000006</v>
      </c>
    </row>
    <row r="717" spans="1:20" x14ac:dyDescent="0.35">
      <c r="A717" s="14" t="s">
        <v>101</v>
      </c>
      <c r="B717" s="15" t="s">
        <v>102</v>
      </c>
      <c r="C717" s="15" t="s">
        <v>93</v>
      </c>
      <c r="D717" s="15" t="s">
        <v>97</v>
      </c>
      <c r="E717" s="15" t="s">
        <v>66</v>
      </c>
      <c r="F717" s="15" t="s">
        <v>67</v>
      </c>
      <c r="G717" s="15" t="s">
        <v>75</v>
      </c>
      <c r="H717" s="15" t="s">
        <v>71</v>
      </c>
      <c r="I717" s="16">
        <v>97340</v>
      </c>
      <c r="J717" s="16">
        <v>84719</v>
      </c>
      <c r="K717" s="16">
        <v>94950</v>
      </c>
      <c r="L717" s="17">
        <v>671.5</v>
      </c>
      <c r="M717" s="17">
        <v>87.5</v>
      </c>
      <c r="N717" s="17">
        <f t="shared" si="33"/>
        <v>584</v>
      </c>
      <c r="O717" s="17">
        <v>487.2</v>
      </c>
      <c r="P717" s="17">
        <v>563</v>
      </c>
      <c r="Q717" s="17">
        <v>367.4</v>
      </c>
      <c r="R717" s="17">
        <f t="shared" si="34"/>
        <v>216.60000000000002</v>
      </c>
      <c r="S717" s="17">
        <v>310.2</v>
      </c>
      <c r="T717" s="17">
        <f t="shared" si="35"/>
        <v>177</v>
      </c>
    </row>
    <row r="718" spans="1:20" x14ac:dyDescent="0.35">
      <c r="A718" s="14" t="s">
        <v>101</v>
      </c>
      <c r="B718" s="15" t="s">
        <v>102</v>
      </c>
      <c r="C718" s="15" t="s">
        <v>93</v>
      </c>
      <c r="D718" s="15" t="s">
        <v>97</v>
      </c>
      <c r="E718" s="15" t="s">
        <v>66</v>
      </c>
      <c r="F718" s="15" t="s">
        <v>67</v>
      </c>
      <c r="G718" s="15" t="s">
        <v>76</v>
      </c>
      <c r="H718" s="15" t="s">
        <v>72</v>
      </c>
      <c r="I718" s="16">
        <v>30265</v>
      </c>
      <c r="J718" s="16">
        <v>25985</v>
      </c>
      <c r="K718" s="16">
        <v>29187</v>
      </c>
      <c r="L718" s="17">
        <v>343.7</v>
      </c>
      <c r="M718" s="17">
        <v>46.3</v>
      </c>
      <c r="N718" s="17">
        <f t="shared" si="33"/>
        <v>297.39999999999998</v>
      </c>
      <c r="O718" s="17">
        <v>244.5</v>
      </c>
      <c r="P718" s="17">
        <v>287.2</v>
      </c>
      <c r="Q718" s="17">
        <v>187.1</v>
      </c>
      <c r="R718" s="17">
        <f t="shared" si="34"/>
        <v>110.29999999999998</v>
      </c>
      <c r="S718" s="17">
        <v>156.9</v>
      </c>
      <c r="T718" s="17">
        <f t="shared" si="35"/>
        <v>87.6</v>
      </c>
    </row>
    <row r="719" spans="1:20" x14ac:dyDescent="0.35">
      <c r="A719" s="14" t="s">
        <v>101</v>
      </c>
      <c r="B719" s="15" t="s">
        <v>102</v>
      </c>
      <c r="C719" s="15" t="s">
        <v>93</v>
      </c>
      <c r="D719" s="15" t="s">
        <v>97</v>
      </c>
      <c r="E719" s="15" t="s">
        <v>66</v>
      </c>
      <c r="F719" s="15" t="s">
        <v>79</v>
      </c>
      <c r="G719" s="15" t="s">
        <v>95</v>
      </c>
      <c r="H719" s="15" t="s">
        <v>71</v>
      </c>
      <c r="I719" s="16">
        <v>108185</v>
      </c>
      <c r="J719" s="16">
        <v>94284</v>
      </c>
      <c r="K719" s="16">
        <v>104612</v>
      </c>
      <c r="L719" s="17">
        <v>477.2</v>
      </c>
      <c r="M719" s="17">
        <v>69.900000000000006</v>
      </c>
      <c r="N719" s="17">
        <f t="shared" si="33"/>
        <v>407.29999999999995</v>
      </c>
      <c r="O719" s="17">
        <v>337.9</v>
      </c>
      <c r="P719" s="17">
        <v>391.5</v>
      </c>
      <c r="Q719" s="17">
        <v>244.3</v>
      </c>
      <c r="R719" s="17">
        <f t="shared" si="34"/>
        <v>162.99999999999994</v>
      </c>
      <c r="S719" s="17">
        <v>205.9</v>
      </c>
      <c r="T719" s="17">
        <f t="shared" si="35"/>
        <v>131.99999999999997</v>
      </c>
    </row>
    <row r="720" spans="1:20" x14ac:dyDescent="0.35">
      <c r="A720" s="14" t="s">
        <v>101</v>
      </c>
      <c r="B720" s="15" t="s">
        <v>102</v>
      </c>
      <c r="C720" s="15" t="s">
        <v>93</v>
      </c>
      <c r="D720" s="15" t="s">
        <v>97</v>
      </c>
      <c r="E720" s="15" t="s">
        <v>66</v>
      </c>
      <c r="F720" s="15" t="s">
        <v>81</v>
      </c>
      <c r="G720" s="15" t="s">
        <v>82</v>
      </c>
      <c r="H720" s="15" t="s">
        <v>71</v>
      </c>
      <c r="I720" s="16">
        <v>37789</v>
      </c>
      <c r="J720" s="16">
        <v>32410</v>
      </c>
      <c r="K720" s="16">
        <v>36936</v>
      </c>
      <c r="L720" s="17">
        <v>354.5</v>
      </c>
      <c r="M720" s="17">
        <v>52.6</v>
      </c>
      <c r="N720" s="17">
        <f t="shared" si="33"/>
        <v>301.89999999999998</v>
      </c>
      <c r="O720" s="17">
        <v>245.3</v>
      </c>
      <c r="P720" s="17">
        <v>291.2</v>
      </c>
      <c r="Q720" s="17">
        <v>182.9</v>
      </c>
      <c r="R720" s="17">
        <f t="shared" si="34"/>
        <v>118.99999999999997</v>
      </c>
      <c r="S720" s="17">
        <v>150.5</v>
      </c>
      <c r="T720" s="17">
        <f t="shared" si="35"/>
        <v>94.800000000000011</v>
      </c>
    </row>
    <row r="721" spans="1:20" x14ac:dyDescent="0.35">
      <c r="A721" s="14" t="s">
        <v>101</v>
      </c>
      <c r="B721" s="15" t="s">
        <v>102</v>
      </c>
      <c r="C721" s="15" t="s">
        <v>93</v>
      </c>
      <c r="D721" s="15" t="s">
        <v>97</v>
      </c>
      <c r="E721" s="15" t="s">
        <v>66</v>
      </c>
      <c r="F721" s="15" t="s">
        <v>83</v>
      </c>
      <c r="G721" s="15" t="s">
        <v>84</v>
      </c>
      <c r="H721" s="15" t="s">
        <v>72</v>
      </c>
      <c r="I721" s="16">
        <v>35807</v>
      </c>
      <c r="J721" s="16">
        <v>27823</v>
      </c>
      <c r="K721" s="16">
        <v>34556</v>
      </c>
      <c r="L721" s="17">
        <v>1026.3</v>
      </c>
      <c r="M721" s="17">
        <v>148</v>
      </c>
      <c r="N721" s="17">
        <f t="shared" si="33"/>
        <v>878.3</v>
      </c>
      <c r="O721" s="17">
        <v>654.9</v>
      </c>
      <c r="P721" s="17">
        <v>837</v>
      </c>
      <c r="Q721" s="17">
        <v>516.5</v>
      </c>
      <c r="R721" s="17">
        <f t="shared" si="34"/>
        <v>361.79999999999995</v>
      </c>
      <c r="S721" s="17">
        <v>389.5</v>
      </c>
      <c r="T721" s="17">
        <f t="shared" si="35"/>
        <v>265.39999999999998</v>
      </c>
    </row>
    <row r="722" spans="1:20" x14ac:dyDescent="0.35">
      <c r="A722" s="14" t="s">
        <v>101</v>
      </c>
      <c r="B722" s="15" t="s">
        <v>102</v>
      </c>
      <c r="C722" s="15" t="s">
        <v>93</v>
      </c>
      <c r="D722" s="15" t="s">
        <v>97</v>
      </c>
      <c r="E722" s="15" t="s">
        <v>89</v>
      </c>
      <c r="F722" s="15" t="s">
        <v>67</v>
      </c>
      <c r="G722" s="15" t="s">
        <v>68</v>
      </c>
      <c r="H722" s="15" t="s">
        <v>69</v>
      </c>
      <c r="I722" s="16">
        <v>691872</v>
      </c>
      <c r="J722" s="16">
        <v>631245</v>
      </c>
      <c r="K722" s="16">
        <v>671153</v>
      </c>
      <c r="L722" s="17">
        <v>3306.1</v>
      </c>
      <c r="M722" s="17">
        <v>253.3</v>
      </c>
      <c r="N722" s="17">
        <f t="shared" si="33"/>
        <v>3052.7999999999997</v>
      </c>
      <c r="O722" s="17">
        <v>2677.6</v>
      </c>
      <c r="P722" s="17">
        <v>2920.8</v>
      </c>
      <c r="Q722" s="17">
        <v>1699</v>
      </c>
      <c r="R722" s="17">
        <f t="shared" si="34"/>
        <v>1353.7999999999997</v>
      </c>
      <c r="S722" s="17">
        <v>1502.1</v>
      </c>
      <c r="T722" s="17">
        <f t="shared" si="35"/>
        <v>1175.5</v>
      </c>
    </row>
    <row r="723" spans="1:20" x14ac:dyDescent="0.35">
      <c r="A723" s="14" t="s">
        <v>101</v>
      </c>
      <c r="B723" s="15" t="s">
        <v>102</v>
      </c>
      <c r="C723" s="15" t="s">
        <v>93</v>
      </c>
      <c r="D723" s="15" t="s">
        <v>97</v>
      </c>
      <c r="E723" s="15" t="s">
        <v>89</v>
      </c>
      <c r="F723" s="15" t="s">
        <v>67</v>
      </c>
      <c r="G723" s="15" t="s">
        <v>68</v>
      </c>
      <c r="H723" s="15" t="s">
        <v>70</v>
      </c>
      <c r="I723" s="16">
        <v>473030</v>
      </c>
      <c r="J723" s="16">
        <v>415090</v>
      </c>
      <c r="K723" s="16">
        <v>456293</v>
      </c>
      <c r="L723" s="17">
        <v>2671</v>
      </c>
      <c r="M723" s="17">
        <v>196</v>
      </c>
      <c r="N723" s="17">
        <f t="shared" si="33"/>
        <v>2475</v>
      </c>
      <c r="O723" s="17">
        <v>2059.3000000000002</v>
      </c>
      <c r="P723" s="17">
        <v>2362.5</v>
      </c>
      <c r="Q723" s="17">
        <v>1408.8</v>
      </c>
      <c r="R723" s="17">
        <f t="shared" si="34"/>
        <v>1066.2</v>
      </c>
      <c r="S723" s="17">
        <v>1199.5</v>
      </c>
      <c r="T723" s="17">
        <f t="shared" si="35"/>
        <v>859.80000000000018</v>
      </c>
    </row>
    <row r="724" spans="1:20" x14ac:dyDescent="0.35">
      <c r="A724" s="14" t="s">
        <v>101</v>
      </c>
      <c r="B724" s="15" t="s">
        <v>102</v>
      </c>
      <c r="C724" s="15" t="s">
        <v>93</v>
      </c>
      <c r="D724" s="15" t="s">
        <v>97</v>
      </c>
      <c r="E724" s="15" t="s">
        <v>89</v>
      </c>
      <c r="F724" s="15" t="s">
        <v>67</v>
      </c>
      <c r="G724" s="15" t="s">
        <v>68</v>
      </c>
      <c r="H724" s="15" t="s">
        <v>71</v>
      </c>
      <c r="I724" s="16">
        <v>418359</v>
      </c>
      <c r="J724" s="16">
        <v>375756</v>
      </c>
      <c r="K724" s="16">
        <v>408079</v>
      </c>
      <c r="L724" s="17">
        <v>2952.4</v>
      </c>
      <c r="M724" s="17">
        <v>199</v>
      </c>
      <c r="N724" s="17">
        <f t="shared" si="33"/>
        <v>2753.4</v>
      </c>
      <c r="O724" s="17">
        <v>2338.6</v>
      </c>
      <c r="P724" s="17">
        <v>2622.9</v>
      </c>
      <c r="Q724" s="17">
        <v>1745.6</v>
      </c>
      <c r="R724" s="17">
        <f t="shared" si="34"/>
        <v>1007.8000000000002</v>
      </c>
      <c r="S724" s="17">
        <v>1511.8</v>
      </c>
      <c r="T724" s="17">
        <f t="shared" si="35"/>
        <v>826.8</v>
      </c>
    </row>
    <row r="725" spans="1:20" x14ac:dyDescent="0.35">
      <c r="A725" s="14" t="s">
        <v>101</v>
      </c>
      <c r="B725" s="15" t="s">
        <v>102</v>
      </c>
      <c r="C725" s="15" t="s">
        <v>93</v>
      </c>
      <c r="D725" s="15" t="s">
        <v>97</v>
      </c>
      <c r="E725" s="15" t="s">
        <v>89</v>
      </c>
      <c r="F725" s="15" t="s">
        <v>67</v>
      </c>
      <c r="G725" s="15" t="s">
        <v>68</v>
      </c>
      <c r="H725" s="15" t="s">
        <v>72</v>
      </c>
      <c r="I725" s="16">
        <v>86344</v>
      </c>
      <c r="J725" s="16">
        <v>75686</v>
      </c>
      <c r="K725" s="16">
        <v>84155</v>
      </c>
      <c r="L725" s="17">
        <v>803.7</v>
      </c>
      <c r="M725" s="17">
        <v>49.8</v>
      </c>
      <c r="N725" s="17">
        <f t="shared" si="33"/>
        <v>753.90000000000009</v>
      </c>
      <c r="O725" s="17">
        <v>633.6</v>
      </c>
      <c r="P725" s="17">
        <v>731.2</v>
      </c>
      <c r="Q725" s="17">
        <v>474.8</v>
      </c>
      <c r="R725" s="17">
        <f t="shared" si="34"/>
        <v>279.10000000000008</v>
      </c>
      <c r="S725" s="17">
        <v>403</v>
      </c>
      <c r="T725" s="17">
        <f t="shared" si="35"/>
        <v>230.60000000000002</v>
      </c>
    </row>
    <row r="726" spans="1:20" x14ac:dyDescent="0.35">
      <c r="A726" s="14" t="s">
        <v>101</v>
      </c>
      <c r="B726" s="15" t="s">
        <v>102</v>
      </c>
      <c r="C726" s="15" t="s">
        <v>93</v>
      </c>
      <c r="D726" s="15" t="s">
        <v>97</v>
      </c>
      <c r="E726" s="15" t="s">
        <v>89</v>
      </c>
      <c r="F726" s="15" t="s">
        <v>67</v>
      </c>
      <c r="G726" s="15" t="s">
        <v>73</v>
      </c>
      <c r="H726" s="15" t="s">
        <v>71</v>
      </c>
      <c r="I726" s="16">
        <v>106172</v>
      </c>
      <c r="J726" s="16">
        <v>87408</v>
      </c>
      <c r="K726" s="16">
        <v>102659</v>
      </c>
      <c r="L726" s="17">
        <v>733.2</v>
      </c>
      <c r="M726" s="17">
        <v>56.2</v>
      </c>
      <c r="N726" s="17">
        <f t="shared" si="33"/>
        <v>677</v>
      </c>
      <c r="O726" s="17">
        <v>534.29999999999995</v>
      </c>
      <c r="P726" s="17">
        <v>653.1</v>
      </c>
      <c r="Q726" s="17">
        <v>412.8</v>
      </c>
      <c r="R726" s="17">
        <f t="shared" si="34"/>
        <v>264.2</v>
      </c>
      <c r="S726" s="17">
        <v>328.8</v>
      </c>
      <c r="T726" s="17">
        <f t="shared" si="35"/>
        <v>205.49999999999994</v>
      </c>
    </row>
    <row r="727" spans="1:20" x14ac:dyDescent="0.35">
      <c r="A727" s="14" t="s">
        <v>101</v>
      </c>
      <c r="B727" s="15" t="s">
        <v>102</v>
      </c>
      <c r="C727" s="15" t="s">
        <v>93</v>
      </c>
      <c r="D727" s="15" t="s">
        <v>97</v>
      </c>
      <c r="E727" s="15" t="s">
        <v>89</v>
      </c>
      <c r="F727" s="15" t="s">
        <v>67</v>
      </c>
      <c r="G727" s="15" t="s">
        <v>73</v>
      </c>
      <c r="H727" s="15" t="s">
        <v>72</v>
      </c>
      <c r="I727" s="16">
        <v>27136</v>
      </c>
      <c r="J727" s="16">
        <v>22048</v>
      </c>
      <c r="K727" s="16">
        <v>26476</v>
      </c>
      <c r="L727" s="17">
        <v>246.8</v>
      </c>
      <c r="M727" s="17">
        <v>15.5</v>
      </c>
      <c r="N727" s="17">
        <f t="shared" si="33"/>
        <v>231.3</v>
      </c>
      <c r="O727" s="17">
        <v>177.7</v>
      </c>
      <c r="P727" s="17">
        <v>223.8</v>
      </c>
      <c r="Q727" s="17">
        <v>146.5</v>
      </c>
      <c r="R727" s="17">
        <f t="shared" si="34"/>
        <v>84.800000000000011</v>
      </c>
      <c r="S727" s="17">
        <v>114.7</v>
      </c>
      <c r="T727" s="17">
        <f t="shared" si="35"/>
        <v>62.999999999999986</v>
      </c>
    </row>
    <row r="728" spans="1:20" x14ac:dyDescent="0.35">
      <c r="A728" s="14" t="s">
        <v>101</v>
      </c>
      <c r="B728" s="15" t="s">
        <v>102</v>
      </c>
      <c r="C728" s="15" t="s">
        <v>93</v>
      </c>
      <c r="D728" s="15" t="s">
        <v>97</v>
      </c>
      <c r="E728" s="15" t="s">
        <v>89</v>
      </c>
      <c r="F728" s="15" t="s">
        <v>67</v>
      </c>
      <c r="G728" s="15" t="s">
        <v>74</v>
      </c>
      <c r="H728" s="15" t="s">
        <v>70</v>
      </c>
      <c r="I728" s="16">
        <v>174108</v>
      </c>
      <c r="J728" s="16">
        <v>154546</v>
      </c>
      <c r="K728" s="16">
        <v>168630</v>
      </c>
      <c r="L728" s="17">
        <v>929.9</v>
      </c>
      <c r="M728" s="17">
        <v>65.5</v>
      </c>
      <c r="N728" s="17">
        <f t="shared" si="33"/>
        <v>864.4</v>
      </c>
      <c r="O728" s="17">
        <v>729.1</v>
      </c>
      <c r="P728" s="17">
        <v>823.9</v>
      </c>
      <c r="Q728" s="17">
        <v>502.7</v>
      </c>
      <c r="R728" s="17">
        <f t="shared" si="34"/>
        <v>361.7</v>
      </c>
      <c r="S728" s="17">
        <v>429.9</v>
      </c>
      <c r="T728" s="17">
        <f t="shared" si="35"/>
        <v>299.20000000000005</v>
      </c>
    </row>
    <row r="729" spans="1:20" x14ac:dyDescent="0.35">
      <c r="A729" s="14" t="s">
        <v>101</v>
      </c>
      <c r="B729" s="15" t="s">
        <v>102</v>
      </c>
      <c r="C729" s="15" t="s">
        <v>93</v>
      </c>
      <c r="D729" s="15" t="s">
        <v>97</v>
      </c>
      <c r="E729" s="15" t="s">
        <v>89</v>
      </c>
      <c r="F729" s="15" t="s">
        <v>67</v>
      </c>
      <c r="G729" s="15" t="s">
        <v>74</v>
      </c>
      <c r="H729" s="15" t="s">
        <v>71</v>
      </c>
      <c r="I729" s="16">
        <v>173234</v>
      </c>
      <c r="J729" s="16">
        <v>154619</v>
      </c>
      <c r="K729" s="16">
        <v>168396</v>
      </c>
      <c r="L729" s="17">
        <v>1193.2</v>
      </c>
      <c r="M729" s="17">
        <v>81.099999999999994</v>
      </c>
      <c r="N729" s="17">
        <f t="shared" si="33"/>
        <v>1112.1000000000001</v>
      </c>
      <c r="O729" s="17">
        <v>940.6</v>
      </c>
      <c r="P729" s="17">
        <v>1072.5999999999999</v>
      </c>
      <c r="Q729" s="17">
        <v>700.7</v>
      </c>
      <c r="R729" s="17">
        <f t="shared" si="34"/>
        <v>411.40000000000009</v>
      </c>
      <c r="S729" s="17">
        <v>601.6</v>
      </c>
      <c r="T729" s="17">
        <f t="shared" si="35"/>
        <v>339</v>
      </c>
    </row>
    <row r="730" spans="1:20" x14ac:dyDescent="0.35">
      <c r="A730" s="14" t="s">
        <v>101</v>
      </c>
      <c r="B730" s="15" t="s">
        <v>102</v>
      </c>
      <c r="C730" s="15" t="s">
        <v>93</v>
      </c>
      <c r="D730" s="15" t="s">
        <v>97</v>
      </c>
      <c r="E730" s="15" t="s">
        <v>89</v>
      </c>
      <c r="F730" s="15" t="s">
        <v>67</v>
      </c>
      <c r="G730" s="15" t="s">
        <v>75</v>
      </c>
      <c r="H730" s="15" t="s">
        <v>71</v>
      </c>
      <c r="I730" s="16">
        <v>138454</v>
      </c>
      <c r="J730" s="16">
        <v>122189</v>
      </c>
      <c r="K730" s="16">
        <v>134633</v>
      </c>
      <c r="L730" s="17">
        <v>922.8</v>
      </c>
      <c r="M730" s="17">
        <v>64.2</v>
      </c>
      <c r="N730" s="17">
        <f t="shared" si="33"/>
        <v>858.59999999999991</v>
      </c>
      <c r="O730" s="17">
        <v>723.5</v>
      </c>
      <c r="P730" s="17">
        <v>823.4</v>
      </c>
      <c r="Q730" s="17">
        <v>519.5</v>
      </c>
      <c r="R730" s="17">
        <f t="shared" si="34"/>
        <v>339.09999999999991</v>
      </c>
      <c r="S730" s="17">
        <v>441.4</v>
      </c>
      <c r="T730" s="17">
        <f t="shared" si="35"/>
        <v>282.10000000000002</v>
      </c>
    </row>
    <row r="731" spans="1:20" x14ac:dyDescent="0.35">
      <c r="A731" s="14" t="s">
        <v>101</v>
      </c>
      <c r="B731" s="15" t="s">
        <v>102</v>
      </c>
      <c r="C731" s="15" t="s">
        <v>93</v>
      </c>
      <c r="D731" s="15" t="s">
        <v>97</v>
      </c>
      <c r="E731" s="15" t="s">
        <v>89</v>
      </c>
      <c r="F731" s="15" t="s">
        <v>67</v>
      </c>
      <c r="G731" s="15" t="s">
        <v>76</v>
      </c>
      <c r="H731" s="15" t="s">
        <v>72</v>
      </c>
      <c r="I731" s="16">
        <v>24354</v>
      </c>
      <c r="J731" s="16">
        <v>20921</v>
      </c>
      <c r="K731" s="16">
        <v>23738</v>
      </c>
      <c r="L731" s="17">
        <v>271.10000000000002</v>
      </c>
      <c r="M731" s="17">
        <v>16.899999999999999</v>
      </c>
      <c r="N731" s="17">
        <f t="shared" si="33"/>
        <v>254.20000000000002</v>
      </c>
      <c r="O731" s="17">
        <v>208.3</v>
      </c>
      <c r="P731" s="17">
        <v>245.7</v>
      </c>
      <c r="Q731" s="17">
        <v>158.6</v>
      </c>
      <c r="R731" s="17">
        <f t="shared" si="34"/>
        <v>95.600000000000023</v>
      </c>
      <c r="S731" s="17">
        <v>132.30000000000001</v>
      </c>
      <c r="T731" s="17">
        <f t="shared" si="35"/>
        <v>76</v>
      </c>
    </row>
    <row r="732" spans="1:20" x14ac:dyDescent="0.35">
      <c r="A732" s="14" t="s">
        <v>101</v>
      </c>
      <c r="B732" s="15" t="s">
        <v>102</v>
      </c>
      <c r="C732" s="15" t="s">
        <v>93</v>
      </c>
      <c r="D732" s="15" t="s">
        <v>97</v>
      </c>
      <c r="E732" s="15" t="s">
        <v>89</v>
      </c>
      <c r="F732" s="15" t="s">
        <v>79</v>
      </c>
      <c r="G732" s="15" t="s">
        <v>95</v>
      </c>
      <c r="H732" s="15" t="s">
        <v>71</v>
      </c>
      <c r="I732" s="16">
        <v>130185</v>
      </c>
      <c r="J732" s="16">
        <v>113076</v>
      </c>
      <c r="K732" s="16">
        <v>125766</v>
      </c>
      <c r="L732" s="17">
        <v>553.6</v>
      </c>
      <c r="M732" s="17">
        <v>43.6</v>
      </c>
      <c r="N732" s="17">
        <f t="shared" si="33"/>
        <v>510</v>
      </c>
      <c r="O732" s="17">
        <v>424</v>
      </c>
      <c r="P732" s="17">
        <v>485.8</v>
      </c>
      <c r="Q732" s="17">
        <v>305.60000000000002</v>
      </c>
      <c r="R732" s="17">
        <f t="shared" si="34"/>
        <v>204.39999999999998</v>
      </c>
      <c r="S732" s="17">
        <v>256.5</v>
      </c>
      <c r="T732" s="17">
        <f t="shared" si="35"/>
        <v>167.5</v>
      </c>
    </row>
    <row r="733" spans="1:20" x14ac:dyDescent="0.35">
      <c r="A733" s="14" t="s">
        <v>101</v>
      </c>
      <c r="B733" s="15" t="s">
        <v>102</v>
      </c>
      <c r="C733" s="15" t="s">
        <v>93</v>
      </c>
      <c r="D733" s="15" t="s">
        <v>97</v>
      </c>
      <c r="E733" s="15" t="s">
        <v>89</v>
      </c>
      <c r="F733" s="15" t="s">
        <v>81</v>
      </c>
      <c r="G733" s="15" t="s">
        <v>82</v>
      </c>
      <c r="H733" s="15" t="s">
        <v>71</v>
      </c>
      <c r="I733" s="16">
        <v>47480</v>
      </c>
      <c r="J733" s="16">
        <v>40949</v>
      </c>
      <c r="K733" s="16">
        <v>46273</v>
      </c>
      <c r="L733" s="17">
        <v>420.5</v>
      </c>
      <c r="M733" s="17">
        <v>31.3</v>
      </c>
      <c r="N733" s="17">
        <f t="shared" si="33"/>
        <v>389.2</v>
      </c>
      <c r="O733" s="17">
        <v>320.10000000000002</v>
      </c>
      <c r="P733" s="17">
        <v>374.1</v>
      </c>
      <c r="Q733" s="17">
        <v>243.7</v>
      </c>
      <c r="R733" s="17">
        <f t="shared" si="34"/>
        <v>145.5</v>
      </c>
      <c r="S733" s="17">
        <v>203</v>
      </c>
      <c r="T733" s="17">
        <f t="shared" si="35"/>
        <v>117.10000000000002</v>
      </c>
    </row>
    <row r="734" spans="1:20" x14ac:dyDescent="0.35">
      <c r="A734" s="14" t="s">
        <v>101</v>
      </c>
      <c r="B734" s="15" t="s">
        <v>102</v>
      </c>
      <c r="C734" s="15" t="s">
        <v>93</v>
      </c>
      <c r="D734" s="15" t="s">
        <v>97</v>
      </c>
      <c r="E734" s="15" t="s">
        <v>89</v>
      </c>
      <c r="F734" s="15" t="s">
        <v>83</v>
      </c>
      <c r="G734" s="15" t="s">
        <v>84</v>
      </c>
      <c r="H734" s="15" t="s">
        <v>72</v>
      </c>
      <c r="I734" s="16">
        <v>18351</v>
      </c>
      <c r="J734" s="16">
        <v>14439</v>
      </c>
      <c r="K734" s="16">
        <v>17734</v>
      </c>
      <c r="L734" s="17">
        <v>530.29999999999995</v>
      </c>
      <c r="M734" s="17">
        <v>41.7</v>
      </c>
      <c r="N734" s="17">
        <f t="shared" si="33"/>
        <v>488.59999999999997</v>
      </c>
      <c r="O734" s="17">
        <v>364.7</v>
      </c>
      <c r="P734" s="17">
        <v>470.9</v>
      </c>
      <c r="Q734" s="17">
        <v>279.3</v>
      </c>
      <c r="R734" s="17">
        <f t="shared" si="34"/>
        <v>209.29999999999995</v>
      </c>
      <c r="S734" s="17">
        <v>211.6</v>
      </c>
      <c r="T734" s="17">
        <f t="shared" si="35"/>
        <v>153.1</v>
      </c>
    </row>
    <row r="735" spans="1:20" x14ac:dyDescent="0.35">
      <c r="A735" s="14" t="s">
        <v>101</v>
      </c>
      <c r="B735" s="15" t="s">
        <v>102</v>
      </c>
      <c r="C735" s="15" t="s">
        <v>93</v>
      </c>
      <c r="D735" s="15" t="s">
        <v>97</v>
      </c>
      <c r="E735" s="15" t="s">
        <v>90</v>
      </c>
      <c r="F735" s="15" t="s">
        <v>67</v>
      </c>
      <c r="G735" s="15" t="s">
        <v>68</v>
      </c>
      <c r="H735" s="15" t="s">
        <v>69</v>
      </c>
      <c r="I735" s="16">
        <v>216276</v>
      </c>
      <c r="J735" s="16">
        <v>200608</v>
      </c>
      <c r="K735" s="16">
        <v>209197</v>
      </c>
      <c r="L735" s="17">
        <v>935.2</v>
      </c>
      <c r="M735" s="17">
        <v>104.8</v>
      </c>
      <c r="N735" s="17">
        <f t="shared" si="33"/>
        <v>830.40000000000009</v>
      </c>
      <c r="O735" s="17">
        <v>729.2</v>
      </c>
      <c r="P735" s="17">
        <v>799</v>
      </c>
      <c r="Q735" s="17">
        <v>454.9</v>
      </c>
      <c r="R735" s="17">
        <f t="shared" si="34"/>
        <v>375.50000000000011</v>
      </c>
      <c r="S735" s="17">
        <v>402.5</v>
      </c>
      <c r="T735" s="17">
        <f t="shared" si="35"/>
        <v>326.70000000000005</v>
      </c>
    </row>
    <row r="736" spans="1:20" x14ac:dyDescent="0.35">
      <c r="A736" s="14" t="s">
        <v>101</v>
      </c>
      <c r="B736" s="15" t="s">
        <v>102</v>
      </c>
      <c r="C736" s="15" t="s">
        <v>93</v>
      </c>
      <c r="D736" s="15" t="s">
        <v>97</v>
      </c>
      <c r="E736" s="15" t="s">
        <v>90</v>
      </c>
      <c r="F736" s="15" t="s">
        <v>67</v>
      </c>
      <c r="G736" s="15" t="s">
        <v>68</v>
      </c>
      <c r="H736" s="15" t="s">
        <v>70</v>
      </c>
      <c r="I736" s="16">
        <v>174763</v>
      </c>
      <c r="J736" s="16">
        <v>155906</v>
      </c>
      <c r="K736" s="16">
        <v>168397</v>
      </c>
      <c r="L736" s="17">
        <v>888.4</v>
      </c>
      <c r="M736" s="17">
        <v>105.2</v>
      </c>
      <c r="N736" s="17">
        <f t="shared" si="33"/>
        <v>783.19999999999993</v>
      </c>
      <c r="O736" s="17">
        <v>669.1</v>
      </c>
      <c r="P736" s="17">
        <v>757.6</v>
      </c>
      <c r="Q736" s="17">
        <v>436.2</v>
      </c>
      <c r="R736" s="17">
        <f t="shared" si="34"/>
        <v>346.99999999999994</v>
      </c>
      <c r="S736" s="17">
        <v>377.2</v>
      </c>
      <c r="T736" s="17">
        <f t="shared" si="35"/>
        <v>291.90000000000003</v>
      </c>
    </row>
    <row r="737" spans="1:20" x14ac:dyDescent="0.35">
      <c r="A737" s="14" t="s">
        <v>101</v>
      </c>
      <c r="B737" s="15" t="s">
        <v>102</v>
      </c>
      <c r="C737" s="15" t="s">
        <v>93</v>
      </c>
      <c r="D737" s="15" t="s">
        <v>97</v>
      </c>
      <c r="E737" s="15" t="s">
        <v>90</v>
      </c>
      <c r="F737" s="15" t="s">
        <v>67</v>
      </c>
      <c r="G737" s="15" t="s">
        <v>68</v>
      </c>
      <c r="H737" s="15" t="s">
        <v>71</v>
      </c>
      <c r="I737" s="16">
        <v>243708</v>
      </c>
      <c r="J737" s="16">
        <v>224546</v>
      </c>
      <c r="K737" s="16">
        <v>236703</v>
      </c>
      <c r="L737" s="17">
        <v>1558.2</v>
      </c>
      <c r="M737" s="17">
        <v>179.7</v>
      </c>
      <c r="N737" s="17">
        <f t="shared" si="33"/>
        <v>1378.5</v>
      </c>
      <c r="O737" s="17">
        <v>1211.8</v>
      </c>
      <c r="P737" s="17">
        <v>1331.3</v>
      </c>
      <c r="Q737" s="17">
        <v>866.6</v>
      </c>
      <c r="R737" s="17">
        <f t="shared" si="34"/>
        <v>511.9</v>
      </c>
      <c r="S737" s="17">
        <v>768.3</v>
      </c>
      <c r="T737" s="17">
        <f t="shared" si="35"/>
        <v>443.5</v>
      </c>
    </row>
    <row r="738" spans="1:20" x14ac:dyDescent="0.35">
      <c r="A738" s="14" t="s">
        <v>101</v>
      </c>
      <c r="B738" s="15" t="s">
        <v>102</v>
      </c>
      <c r="C738" s="15" t="s">
        <v>93</v>
      </c>
      <c r="D738" s="15" t="s">
        <v>97</v>
      </c>
      <c r="E738" s="15" t="s">
        <v>90</v>
      </c>
      <c r="F738" s="15" t="s">
        <v>67</v>
      </c>
      <c r="G738" s="15" t="s">
        <v>68</v>
      </c>
      <c r="H738" s="15" t="s">
        <v>72</v>
      </c>
      <c r="I738" s="16">
        <v>64317</v>
      </c>
      <c r="J738" s="16">
        <v>58004</v>
      </c>
      <c r="K738" s="16">
        <v>62149</v>
      </c>
      <c r="L738" s="17">
        <v>569.4</v>
      </c>
      <c r="M738" s="17">
        <v>67.2</v>
      </c>
      <c r="N738" s="17">
        <f t="shared" si="33"/>
        <v>502.2</v>
      </c>
      <c r="O738" s="17">
        <v>431.4</v>
      </c>
      <c r="P738" s="17">
        <v>483.5</v>
      </c>
      <c r="Q738" s="17">
        <v>323.3</v>
      </c>
      <c r="R738" s="17">
        <f t="shared" si="34"/>
        <v>178.89999999999998</v>
      </c>
      <c r="S738" s="17">
        <v>283.89999999999998</v>
      </c>
      <c r="T738" s="17">
        <f t="shared" si="35"/>
        <v>147.5</v>
      </c>
    </row>
    <row r="739" spans="1:20" x14ac:dyDescent="0.35">
      <c r="A739" s="14" t="s">
        <v>101</v>
      </c>
      <c r="B739" s="15" t="s">
        <v>102</v>
      </c>
      <c r="C739" s="15" t="s">
        <v>93</v>
      </c>
      <c r="D739" s="15" t="s">
        <v>97</v>
      </c>
      <c r="E739" s="15" t="s">
        <v>90</v>
      </c>
      <c r="F739" s="15" t="s">
        <v>67</v>
      </c>
      <c r="G739" s="15" t="s">
        <v>73</v>
      </c>
      <c r="H739" s="15" t="s">
        <v>71</v>
      </c>
      <c r="I739" s="16">
        <v>58464</v>
      </c>
      <c r="J739" s="16">
        <v>48845</v>
      </c>
      <c r="K739" s="16">
        <v>56841</v>
      </c>
      <c r="L739" s="17">
        <v>373.2</v>
      </c>
      <c r="M739" s="17">
        <v>43.7</v>
      </c>
      <c r="N739" s="17">
        <f t="shared" si="33"/>
        <v>329.5</v>
      </c>
      <c r="O739" s="17">
        <v>259.89999999999998</v>
      </c>
      <c r="P739" s="17">
        <v>316.39999999999998</v>
      </c>
      <c r="Q739" s="17">
        <v>204.1</v>
      </c>
      <c r="R739" s="17">
        <f t="shared" si="34"/>
        <v>125.4</v>
      </c>
      <c r="S739" s="17">
        <v>163.4</v>
      </c>
      <c r="T739" s="17">
        <f t="shared" si="35"/>
        <v>96.499999999999972</v>
      </c>
    </row>
    <row r="740" spans="1:20" x14ac:dyDescent="0.35">
      <c r="A740" s="14" t="s">
        <v>101</v>
      </c>
      <c r="B740" s="15" t="s">
        <v>102</v>
      </c>
      <c r="C740" s="15" t="s">
        <v>93</v>
      </c>
      <c r="D740" s="15" t="s">
        <v>97</v>
      </c>
      <c r="E740" s="15" t="s">
        <v>90</v>
      </c>
      <c r="F740" s="15" t="s">
        <v>67</v>
      </c>
      <c r="G740" s="15" t="s">
        <v>73</v>
      </c>
      <c r="H740" s="15" t="s">
        <v>72</v>
      </c>
      <c r="I740" s="16">
        <v>23973</v>
      </c>
      <c r="J740" s="16">
        <v>19566</v>
      </c>
      <c r="K740" s="16">
        <v>23274</v>
      </c>
      <c r="L740" s="17">
        <v>209.2</v>
      </c>
      <c r="M740" s="17">
        <v>21.4</v>
      </c>
      <c r="N740" s="17">
        <f t="shared" si="33"/>
        <v>187.79999999999998</v>
      </c>
      <c r="O740" s="17">
        <v>146.9</v>
      </c>
      <c r="P740" s="17">
        <v>179.4</v>
      </c>
      <c r="Q740" s="17">
        <v>119.4</v>
      </c>
      <c r="R740" s="17">
        <f t="shared" si="34"/>
        <v>68.399999999999977</v>
      </c>
      <c r="S740" s="17">
        <v>94.3</v>
      </c>
      <c r="T740" s="17">
        <f t="shared" si="35"/>
        <v>52.600000000000009</v>
      </c>
    </row>
    <row r="741" spans="1:20" x14ac:dyDescent="0.35">
      <c r="A741" s="14" t="s">
        <v>101</v>
      </c>
      <c r="B741" s="15" t="s">
        <v>102</v>
      </c>
      <c r="C741" s="15" t="s">
        <v>93</v>
      </c>
      <c r="D741" s="15" t="s">
        <v>97</v>
      </c>
      <c r="E741" s="15" t="s">
        <v>90</v>
      </c>
      <c r="F741" s="15" t="s">
        <v>67</v>
      </c>
      <c r="G741" s="15" t="s">
        <v>74</v>
      </c>
      <c r="H741" s="15" t="s">
        <v>70</v>
      </c>
      <c r="I741" s="16">
        <v>72272</v>
      </c>
      <c r="J741" s="16">
        <v>64791</v>
      </c>
      <c r="K741" s="16">
        <v>70211</v>
      </c>
      <c r="L741" s="17">
        <v>353.3</v>
      </c>
      <c r="M741" s="17">
        <v>37.200000000000003</v>
      </c>
      <c r="N741" s="17">
        <f t="shared" si="33"/>
        <v>316.10000000000002</v>
      </c>
      <c r="O741" s="17">
        <v>268.5</v>
      </c>
      <c r="P741" s="17">
        <v>303.3</v>
      </c>
      <c r="Q741" s="17">
        <v>180.8</v>
      </c>
      <c r="R741" s="17">
        <f t="shared" si="34"/>
        <v>135.30000000000001</v>
      </c>
      <c r="S741" s="17">
        <v>156.19999999999999</v>
      </c>
      <c r="T741" s="17">
        <f t="shared" si="35"/>
        <v>112.30000000000001</v>
      </c>
    </row>
    <row r="742" spans="1:20" x14ac:dyDescent="0.35">
      <c r="A742" s="14" t="s">
        <v>101</v>
      </c>
      <c r="B742" s="15" t="s">
        <v>102</v>
      </c>
      <c r="C742" s="15" t="s">
        <v>93</v>
      </c>
      <c r="D742" s="15" t="s">
        <v>97</v>
      </c>
      <c r="E742" s="15" t="s">
        <v>90</v>
      </c>
      <c r="F742" s="15" t="s">
        <v>67</v>
      </c>
      <c r="G742" s="15" t="s">
        <v>74</v>
      </c>
      <c r="H742" s="15" t="s">
        <v>71</v>
      </c>
      <c r="I742" s="16">
        <v>105016</v>
      </c>
      <c r="J742" s="16">
        <v>93381</v>
      </c>
      <c r="K742" s="16">
        <v>101230</v>
      </c>
      <c r="L742" s="17">
        <v>639.9</v>
      </c>
      <c r="M742" s="17">
        <v>65.900000000000006</v>
      </c>
      <c r="N742" s="17">
        <f t="shared" si="33"/>
        <v>574</v>
      </c>
      <c r="O742" s="17">
        <v>483.5</v>
      </c>
      <c r="P742" s="17">
        <v>556.6</v>
      </c>
      <c r="Q742" s="17">
        <v>350.2</v>
      </c>
      <c r="R742" s="17">
        <f t="shared" si="34"/>
        <v>223.8</v>
      </c>
      <c r="S742" s="17">
        <v>301.10000000000002</v>
      </c>
      <c r="T742" s="17">
        <f t="shared" si="35"/>
        <v>182.39999999999998</v>
      </c>
    </row>
    <row r="743" spans="1:20" x14ac:dyDescent="0.35">
      <c r="A743" s="14" t="s">
        <v>101</v>
      </c>
      <c r="B743" s="15" t="s">
        <v>102</v>
      </c>
      <c r="C743" s="15" t="s">
        <v>93</v>
      </c>
      <c r="D743" s="15" t="s">
        <v>97</v>
      </c>
      <c r="E743" s="15" t="s">
        <v>90</v>
      </c>
      <c r="F743" s="15" t="s">
        <v>67</v>
      </c>
      <c r="G743" s="15" t="s">
        <v>75</v>
      </c>
      <c r="H743" s="15" t="s">
        <v>71</v>
      </c>
      <c r="I743" s="16">
        <v>78898</v>
      </c>
      <c r="J743" s="16">
        <v>71867</v>
      </c>
      <c r="K743" s="16">
        <v>76880</v>
      </c>
      <c r="L743" s="17">
        <v>477.5</v>
      </c>
      <c r="M743" s="17">
        <v>49.7</v>
      </c>
      <c r="N743" s="17">
        <f t="shared" si="33"/>
        <v>427.8</v>
      </c>
      <c r="O743" s="17">
        <v>374.2</v>
      </c>
      <c r="P743" s="17">
        <v>409.4</v>
      </c>
      <c r="Q743" s="17">
        <v>261.89999999999998</v>
      </c>
      <c r="R743" s="17">
        <f t="shared" si="34"/>
        <v>165.90000000000003</v>
      </c>
      <c r="S743" s="17">
        <v>232.1</v>
      </c>
      <c r="T743" s="17">
        <f t="shared" si="35"/>
        <v>142.1</v>
      </c>
    </row>
    <row r="744" spans="1:20" x14ac:dyDescent="0.35">
      <c r="A744" s="14" t="s">
        <v>101</v>
      </c>
      <c r="B744" s="15" t="s">
        <v>102</v>
      </c>
      <c r="C744" s="15" t="s">
        <v>93</v>
      </c>
      <c r="D744" s="15" t="s">
        <v>97</v>
      </c>
      <c r="E744" s="15" t="s">
        <v>90</v>
      </c>
      <c r="F744" s="15" t="s">
        <v>67</v>
      </c>
      <c r="G744" s="15" t="s">
        <v>76</v>
      </c>
      <c r="H744" s="15" t="s">
        <v>72</v>
      </c>
      <c r="I744" s="16">
        <v>16171</v>
      </c>
      <c r="J744" s="16">
        <v>14065</v>
      </c>
      <c r="K744" s="16">
        <v>15609</v>
      </c>
      <c r="L744" s="17">
        <v>162.69999999999999</v>
      </c>
      <c r="M744" s="17">
        <v>19.3</v>
      </c>
      <c r="N744" s="17">
        <f t="shared" si="33"/>
        <v>143.39999999999998</v>
      </c>
      <c r="O744" s="17">
        <v>119.6</v>
      </c>
      <c r="P744" s="17">
        <v>137.69999999999999</v>
      </c>
      <c r="Q744" s="17">
        <v>87.7</v>
      </c>
      <c r="R744" s="17">
        <f t="shared" si="34"/>
        <v>55.699999999999974</v>
      </c>
      <c r="S744" s="17">
        <v>73.7</v>
      </c>
      <c r="T744" s="17">
        <f t="shared" si="35"/>
        <v>45.899999999999991</v>
      </c>
    </row>
    <row r="745" spans="1:20" x14ac:dyDescent="0.35">
      <c r="A745" s="14" t="s">
        <v>101</v>
      </c>
      <c r="B745" s="15" t="s">
        <v>102</v>
      </c>
      <c r="C745" s="15" t="s">
        <v>93</v>
      </c>
      <c r="D745" s="15" t="s">
        <v>97</v>
      </c>
      <c r="E745" s="15" t="s">
        <v>90</v>
      </c>
      <c r="F745" s="15" t="s">
        <v>79</v>
      </c>
      <c r="G745" s="15" t="s">
        <v>95</v>
      </c>
      <c r="H745" s="15" t="s">
        <v>71</v>
      </c>
      <c r="I745" s="16">
        <v>72977</v>
      </c>
      <c r="J745" s="16">
        <v>64581</v>
      </c>
      <c r="K745" s="16">
        <v>70857</v>
      </c>
      <c r="L745" s="17">
        <v>280.3</v>
      </c>
      <c r="M745" s="17">
        <v>29.8</v>
      </c>
      <c r="N745" s="17">
        <f t="shared" si="33"/>
        <v>250.5</v>
      </c>
      <c r="O745" s="17">
        <v>212.4</v>
      </c>
      <c r="P745" s="17">
        <v>238.7</v>
      </c>
      <c r="Q745" s="17">
        <v>150.1</v>
      </c>
      <c r="R745" s="17">
        <f t="shared" si="34"/>
        <v>100.4</v>
      </c>
      <c r="S745" s="17">
        <v>128.80000000000001</v>
      </c>
      <c r="T745" s="17">
        <f t="shared" si="35"/>
        <v>83.6</v>
      </c>
    </row>
    <row r="746" spans="1:20" x14ac:dyDescent="0.35">
      <c r="A746" s="14" t="s">
        <v>101</v>
      </c>
      <c r="B746" s="15" t="s">
        <v>102</v>
      </c>
      <c r="C746" s="15" t="s">
        <v>93</v>
      </c>
      <c r="D746" s="15" t="s">
        <v>97</v>
      </c>
      <c r="E746" s="15" t="s">
        <v>90</v>
      </c>
      <c r="F746" s="15" t="s">
        <v>81</v>
      </c>
      <c r="G746" s="15" t="s">
        <v>82</v>
      </c>
      <c r="H746" s="15" t="s">
        <v>71</v>
      </c>
      <c r="I746" s="16">
        <v>22645</v>
      </c>
      <c r="J746" s="16">
        <v>19517</v>
      </c>
      <c r="K746" s="16">
        <v>22054</v>
      </c>
      <c r="L746" s="17">
        <v>182.4</v>
      </c>
      <c r="M746" s="17">
        <v>21.1</v>
      </c>
      <c r="N746" s="17">
        <f t="shared" si="33"/>
        <v>161.30000000000001</v>
      </c>
      <c r="O746" s="17">
        <v>133.4</v>
      </c>
      <c r="P746" s="17">
        <v>156.30000000000001</v>
      </c>
      <c r="Q746" s="17">
        <v>102.3</v>
      </c>
      <c r="R746" s="17">
        <f t="shared" si="34"/>
        <v>59.000000000000014</v>
      </c>
      <c r="S746" s="17">
        <v>86.2</v>
      </c>
      <c r="T746" s="17">
        <f t="shared" si="35"/>
        <v>47.2</v>
      </c>
    </row>
    <row r="747" spans="1:20" x14ac:dyDescent="0.35">
      <c r="A747" s="14" t="s">
        <v>101</v>
      </c>
      <c r="B747" s="15" t="s">
        <v>102</v>
      </c>
      <c r="C747" s="15" t="s">
        <v>93</v>
      </c>
      <c r="D747" s="15" t="s">
        <v>97</v>
      </c>
      <c r="E747" s="15" t="s">
        <v>90</v>
      </c>
      <c r="F747" s="15" t="s">
        <v>83</v>
      </c>
      <c r="G747" s="15" t="s">
        <v>84</v>
      </c>
      <c r="H747" s="15" t="s">
        <v>72</v>
      </c>
      <c r="I747" s="16">
        <v>14499</v>
      </c>
      <c r="J747" s="16">
        <v>11546</v>
      </c>
      <c r="K747" s="16">
        <v>14101</v>
      </c>
      <c r="L747" s="17">
        <v>379.2</v>
      </c>
      <c r="M747" s="17">
        <v>39.299999999999997</v>
      </c>
      <c r="N747" s="17">
        <f t="shared" si="33"/>
        <v>339.9</v>
      </c>
      <c r="O747" s="17">
        <v>260.10000000000002</v>
      </c>
      <c r="P747" s="17">
        <v>328.3</v>
      </c>
      <c r="Q747" s="17">
        <v>194.7</v>
      </c>
      <c r="R747" s="17">
        <f t="shared" si="34"/>
        <v>145.19999999999999</v>
      </c>
      <c r="S747" s="17">
        <v>152.69999999999999</v>
      </c>
      <c r="T747" s="17">
        <f t="shared" si="35"/>
        <v>107.40000000000003</v>
      </c>
    </row>
    <row r="748" spans="1:20" x14ac:dyDescent="0.35">
      <c r="A748" s="14" t="s">
        <v>101</v>
      </c>
      <c r="B748" s="15" t="s">
        <v>102</v>
      </c>
      <c r="C748" s="15" t="s">
        <v>93</v>
      </c>
      <c r="D748" s="15" t="s">
        <v>97</v>
      </c>
      <c r="E748" s="15" t="s">
        <v>91</v>
      </c>
      <c r="F748" s="15" t="s">
        <v>67</v>
      </c>
      <c r="G748" s="15" t="s">
        <v>68</v>
      </c>
      <c r="H748" s="15" t="s">
        <v>69</v>
      </c>
      <c r="I748" s="16">
        <v>158579</v>
      </c>
      <c r="J748" s="16">
        <v>138036</v>
      </c>
      <c r="K748" s="16">
        <v>155142</v>
      </c>
      <c r="L748" s="17">
        <v>779.3</v>
      </c>
      <c r="M748" s="17">
        <v>43.5</v>
      </c>
      <c r="N748" s="17">
        <f t="shared" si="33"/>
        <v>735.8</v>
      </c>
      <c r="O748" s="17">
        <v>615.29999999999995</v>
      </c>
      <c r="P748" s="17">
        <v>706.6</v>
      </c>
      <c r="Q748" s="17">
        <v>406.9</v>
      </c>
      <c r="R748" s="17">
        <f t="shared" si="34"/>
        <v>328.9</v>
      </c>
      <c r="S748" s="17">
        <v>348</v>
      </c>
      <c r="T748" s="17">
        <f t="shared" si="35"/>
        <v>267.29999999999995</v>
      </c>
    </row>
    <row r="749" spans="1:20" x14ac:dyDescent="0.35">
      <c r="A749" s="14" t="s">
        <v>101</v>
      </c>
      <c r="B749" s="15" t="s">
        <v>102</v>
      </c>
      <c r="C749" s="15" t="s">
        <v>93</v>
      </c>
      <c r="D749" s="15" t="s">
        <v>97</v>
      </c>
      <c r="E749" s="15" t="s">
        <v>91</v>
      </c>
      <c r="F749" s="15" t="s">
        <v>67</v>
      </c>
      <c r="G749" s="15" t="s">
        <v>68</v>
      </c>
      <c r="H749" s="15" t="s">
        <v>70</v>
      </c>
      <c r="I749" s="16">
        <v>43846</v>
      </c>
      <c r="J749" s="16">
        <v>37780</v>
      </c>
      <c r="K749" s="16">
        <v>42481</v>
      </c>
      <c r="L749" s="17">
        <v>252.6</v>
      </c>
      <c r="M749" s="17">
        <v>12.9</v>
      </c>
      <c r="N749" s="17">
        <f t="shared" si="33"/>
        <v>239.7</v>
      </c>
      <c r="O749" s="17">
        <v>195.9</v>
      </c>
      <c r="P749" s="17">
        <v>228.3</v>
      </c>
      <c r="Q749" s="17">
        <v>138.69999999999999</v>
      </c>
      <c r="R749" s="17">
        <f t="shared" si="34"/>
        <v>101</v>
      </c>
      <c r="S749" s="17">
        <v>115.1</v>
      </c>
      <c r="T749" s="17">
        <f t="shared" si="35"/>
        <v>80.800000000000011</v>
      </c>
    </row>
    <row r="750" spans="1:20" x14ac:dyDescent="0.35">
      <c r="A750" s="14" t="s">
        <v>101</v>
      </c>
      <c r="B750" s="15" t="s">
        <v>102</v>
      </c>
      <c r="C750" s="15" t="s">
        <v>93</v>
      </c>
      <c r="D750" s="15" t="s">
        <v>97</v>
      </c>
      <c r="E750" s="15" t="s">
        <v>91</v>
      </c>
      <c r="F750" s="15" t="s">
        <v>67</v>
      </c>
      <c r="G750" s="15" t="s">
        <v>68</v>
      </c>
      <c r="H750" s="15" t="s">
        <v>71</v>
      </c>
      <c r="I750" s="16">
        <v>78636</v>
      </c>
      <c r="J750" s="16">
        <v>68902</v>
      </c>
      <c r="K750" s="16">
        <v>76376</v>
      </c>
      <c r="L750" s="17">
        <v>577.6</v>
      </c>
      <c r="M750" s="17">
        <v>25.6</v>
      </c>
      <c r="N750" s="17">
        <f t="shared" si="33"/>
        <v>552</v>
      </c>
      <c r="O750" s="17">
        <v>462.3</v>
      </c>
      <c r="P750" s="17">
        <v>531.4</v>
      </c>
      <c r="Q750" s="17">
        <v>336.8</v>
      </c>
      <c r="R750" s="17">
        <f t="shared" si="34"/>
        <v>215.2</v>
      </c>
      <c r="S750" s="17">
        <v>286.2</v>
      </c>
      <c r="T750" s="17">
        <f t="shared" si="35"/>
        <v>176.10000000000002</v>
      </c>
    </row>
    <row r="751" spans="1:20" x14ac:dyDescent="0.35">
      <c r="A751" s="14" t="s">
        <v>101</v>
      </c>
      <c r="B751" s="15" t="s">
        <v>102</v>
      </c>
      <c r="C751" s="15" t="s">
        <v>93</v>
      </c>
      <c r="D751" s="15" t="s">
        <v>97</v>
      </c>
      <c r="E751" s="15" t="s">
        <v>91</v>
      </c>
      <c r="F751" s="15" t="s">
        <v>67</v>
      </c>
      <c r="G751" s="15" t="s">
        <v>68</v>
      </c>
      <c r="H751" s="15" t="s">
        <v>72</v>
      </c>
      <c r="I751" s="16">
        <v>41310</v>
      </c>
      <c r="J751" s="16">
        <v>35529</v>
      </c>
      <c r="K751" s="16">
        <v>39836</v>
      </c>
      <c r="L751" s="17">
        <v>409.3</v>
      </c>
      <c r="M751" s="17">
        <v>23.8</v>
      </c>
      <c r="N751" s="17">
        <f t="shared" si="33"/>
        <v>385.5</v>
      </c>
      <c r="O751" s="17">
        <v>316.89999999999998</v>
      </c>
      <c r="P751" s="17">
        <v>367.5</v>
      </c>
      <c r="Q751" s="17">
        <v>248</v>
      </c>
      <c r="R751" s="17">
        <f t="shared" si="34"/>
        <v>137.5</v>
      </c>
      <c r="S751" s="17">
        <v>207.6</v>
      </c>
      <c r="T751" s="17">
        <f t="shared" si="35"/>
        <v>109.29999999999998</v>
      </c>
    </row>
    <row r="752" spans="1:20" x14ac:dyDescent="0.35">
      <c r="A752" s="14" t="s">
        <v>101</v>
      </c>
      <c r="B752" s="15" t="s">
        <v>102</v>
      </c>
      <c r="C752" s="15" t="s">
        <v>93</v>
      </c>
      <c r="D752" s="15" t="s">
        <v>97</v>
      </c>
      <c r="E752" s="15" t="s">
        <v>91</v>
      </c>
      <c r="F752" s="15" t="s">
        <v>67</v>
      </c>
      <c r="G752" s="15" t="s">
        <v>73</v>
      </c>
      <c r="H752" s="15" t="s">
        <v>71</v>
      </c>
      <c r="I752" s="16">
        <v>21355</v>
      </c>
      <c r="J752" s="16">
        <v>16986</v>
      </c>
      <c r="K752" s="16">
        <v>20644</v>
      </c>
      <c r="L752" s="17">
        <v>155.4</v>
      </c>
      <c r="M752" s="17">
        <v>8.1</v>
      </c>
      <c r="N752" s="17">
        <f t="shared" si="33"/>
        <v>147.30000000000001</v>
      </c>
      <c r="O752" s="17">
        <v>112.6</v>
      </c>
      <c r="P752" s="17">
        <v>142</v>
      </c>
      <c r="Q752" s="17">
        <v>90.1</v>
      </c>
      <c r="R752" s="17">
        <f t="shared" si="34"/>
        <v>57.200000000000017</v>
      </c>
      <c r="S752" s="17">
        <v>69.5</v>
      </c>
      <c r="T752" s="17">
        <f t="shared" si="35"/>
        <v>43.099999999999994</v>
      </c>
    </row>
    <row r="753" spans="1:20" x14ac:dyDescent="0.35">
      <c r="A753" s="14" t="s">
        <v>101</v>
      </c>
      <c r="B753" s="15" t="s">
        <v>102</v>
      </c>
      <c r="C753" s="15" t="s">
        <v>93</v>
      </c>
      <c r="D753" s="15" t="s">
        <v>97</v>
      </c>
      <c r="E753" s="15" t="s">
        <v>91</v>
      </c>
      <c r="F753" s="15" t="s">
        <v>67</v>
      </c>
      <c r="G753" s="15" t="s">
        <v>73</v>
      </c>
      <c r="H753" s="15" t="s">
        <v>72</v>
      </c>
      <c r="I753" s="16">
        <v>14004</v>
      </c>
      <c r="J753" s="16">
        <v>11077</v>
      </c>
      <c r="K753" s="16">
        <v>13595</v>
      </c>
      <c r="L753" s="17">
        <v>140.19999999999999</v>
      </c>
      <c r="M753" s="17">
        <v>8</v>
      </c>
      <c r="N753" s="17">
        <f t="shared" si="33"/>
        <v>132.19999999999999</v>
      </c>
      <c r="O753" s="17">
        <v>99.6</v>
      </c>
      <c r="P753" s="17">
        <v>126.8</v>
      </c>
      <c r="Q753" s="17">
        <v>85.4</v>
      </c>
      <c r="R753" s="17">
        <f t="shared" si="34"/>
        <v>46.799999999999983</v>
      </c>
      <c r="S753" s="17">
        <v>65.099999999999994</v>
      </c>
      <c r="T753" s="17">
        <f t="shared" si="35"/>
        <v>34.5</v>
      </c>
    </row>
    <row r="754" spans="1:20" x14ac:dyDescent="0.35">
      <c r="A754" s="14" t="s">
        <v>101</v>
      </c>
      <c r="B754" s="15" t="s">
        <v>102</v>
      </c>
      <c r="C754" s="15" t="s">
        <v>93</v>
      </c>
      <c r="D754" s="15" t="s">
        <v>97</v>
      </c>
      <c r="E754" s="15" t="s">
        <v>91</v>
      </c>
      <c r="F754" s="15" t="s">
        <v>67</v>
      </c>
      <c r="G754" s="15" t="s">
        <v>74</v>
      </c>
      <c r="H754" s="15" t="s">
        <v>70</v>
      </c>
      <c r="I754" s="16">
        <v>19427</v>
      </c>
      <c r="J754" s="16">
        <v>16457</v>
      </c>
      <c r="K754" s="16">
        <v>18793</v>
      </c>
      <c r="L754" s="17">
        <v>109.4</v>
      </c>
      <c r="M754" s="17">
        <v>4.5999999999999996</v>
      </c>
      <c r="N754" s="17">
        <f t="shared" si="33"/>
        <v>104.80000000000001</v>
      </c>
      <c r="O754" s="17">
        <v>84.9</v>
      </c>
      <c r="P754" s="17">
        <v>101.7</v>
      </c>
      <c r="Q754" s="17">
        <v>58.3</v>
      </c>
      <c r="R754" s="17">
        <f t="shared" si="34"/>
        <v>46.500000000000014</v>
      </c>
      <c r="S754" s="17">
        <v>48.4</v>
      </c>
      <c r="T754" s="17">
        <f t="shared" si="35"/>
        <v>36.500000000000007</v>
      </c>
    </row>
    <row r="755" spans="1:20" x14ac:dyDescent="0.35">
      <c r="A755" s="14" t="s">
        <v>101</v>
      </c>
      <c r="B755" s="15" t="s">
        <v>102</v>
      </c>
      <c r="C755" s="15" t="s">
        <v>93</v>
      </c>
      <c r="D755" s="15" t="s">
        <v>97</v>
      </c>
      <c r="E755" s="15" t="s">
        <v>91</v>
      </c>
      <c r="F755" s="15" t="s">
        <v>67</v>
      </c>
      <c r="G755" s="15" t="s">
        <v>74</v>
      </c>
      <c r="H755" s="15" t="s">
        <v>71</v>
      </c>
      <c r="I755" s="16">
        <v>30149</v>
      </c>
      <c r="J755" s="16">
        <v>25863</v>
      </c>
      <c r="K755" s="16">
        <v>29264</v>
      </c>
      <c r="L755" s="17">
        <v>212.6</v>
      </c>
      <c r="M755" s="17">
        <v>11.6</v>
      </c>
      <c r="N755" s="17">
        <f t="shared" si="33"/>
        <v>201</v>
      </c>
      <c r="O755" s="17">
        <v>164.7</v>
      </c>
      <c r="P755" s="17">
        <v>194.4</v>
      </c>
      <c r="Q755" s="17">
        <v>127.1</v>
      </c>
      <c r="R755" s="17">
        <f t="shared" si="34"/>
        <v>73.900000000000006</v>
      </c>
      <c r="S755" s="17">
        <v>106.6</v>
      </c>
      <c r="T755" s="17">
        <f t="shared" si="35"/>
        <v>58.099999999999994</v>
      </c>
    </row>
    <row r="756" spans="1:20" x14ac:dyDescent="0.35">
      <c r="A756" s="14" t="s">
        <v>101</v>
      </c>
      <c r="B756" s="15" t="s">
        <v>102</v>
      </c>
      <c r="C756" s="15" t="s">
        <v>93</v>
      </c>
      <c r="D756" s="15" t="s">
        <v>97</v>
      </c>
      <c r="E756" s="15" t="s">
        <v>91</v>
      </c>
      <c r="F756" s="15" t="s">
        <v>67</v>
      </c>
      <c r="G756" s="15" t="s">
        <v>75</v>
      </c>
      <c r="H756" s="15" t="s">
        <v>71</v>
      </c>
      <c r="I756" s="16">
        <v>24668</v>
      </c>
      <c r="J756" s="16">
        <v>21360</v>
      </c>
      <c r="K756" s="16">
        <v>24137</v>
      </c>
      <c r="L756" s="17">
        <v>182.5</v>
      </c>
      <c r="M756" s="17">
        <v>10.5</v>
      </c>
      <c r="N756" s="17">
        <f t="shared" si="33"/>
        <v>172</v>
      </c>
      <c r="O756" s="17">
        <v>142.69999999999999</v>
      </c>
      <c r="P756" s="17">
        <v>165.6</v>
      </c>
      <c r="Q756" s="17">
        <v>107.9</v>
      </c>
      <c r="R756" s="17">
        <f t="shared" si="34"/>
        <v>64.099999999999994</v>
      </c>
      <c r="S756" s="17">
        <v>90.7</v>
      </c>
      <c r="T756" s="17">
        <f t="shared" si="35"/>
        <v>51.999999999999986</v>
      </c>
    </row>
    <row r="757" spans="1:20" x14ac:dyDescent="0.35">
      <c r="A757" s="14" t="s">
        <v>101</v>
      </c>
      <c r="B757" s="15" t="s">
        <v>102</v>
      </c>
      <c r="C757" s="15" t="s">
        <v>93</v>
      </c>
      <c r="D757" s="15" t="s">
        <v>97</v>
      </c>
      <c r="E757" s="15" t="s">
        <v>91</v>
      </c>
      <c r="F757" s="15" t="s">
        <v>67</v>
      </c>
      <c r="G757" s="15" t="s">
        <v>76</v>
      </c>
      <c r="H757" s="15" t="s">
        <v>72</v>
      </c>
      <c r="I757" s="16">
        <v>26356</v>
      </c>
      <c r="J757" s="16">
        <v>22138</v>
      </c>
      <c r="K757" s="16">
        <v>25689</v>
      </c>
      <c r="L757" s="17">
        <v>308.8</v>
      </c>
      <c r="M757" s="17">
        <v>13.4</v>
      </c>
      <c r="N757" s="17">
        <f t="shared" si="33"/>
        <v>295.40000000000003</v>
      </c>
      <c r="O757" s="17">
        <v>235.1</v>
      </c>
      <c r="P757" s="17">
        <v>283.2</v>
      </c>
      <c r="Q757" s="17">
        <v>186.9</v>
      </c>
      <c r="R757" s="17">
        <f t="shared" si="34"/>
        <v>108.50000000000003</v>
      </c>
      <c r="S757" s="17">
        <v>151</v>
      </c>
      <c r="T757" s="17">
        <f t="shared" si="35"/>
        <v>84.1</v>
      </c>
    </row>
    <row r="758" spans="1:20" x14ac:dyDescent="0.35">
      <c r="A758" s="14" t="s">
        <v>101</v>
      </c>
      <c r="B758" s="15" t="s">
        <v>102</v>
      </c>
      <c r="C758" s="15" t="s">
        <v>93</v>
      </c>
      <c r="D758" s="15" t="s">
        <v>97</v>
      </c>
      <c r="E758" s="15" t="s">
        <v>91</v>
      </c>
      <c r="F758" s="15" t="s">
        <v>79</v>
      </c>
      <c r="G758" s="15" t="s">
        <v>95</v>
      </c>
      <c r="H758" s="15" t="s">
        <v>71</v>
      </c>
      <c r="I758" s="16">
        <v>23923</v>
      </c>
      <c r="J758" s="16">
        <v>20195</v>
      </c>
      <c r="K758" s="16">
        <v>23306</v>
      </c>
      <c r="L758" s="17">
        <v>110</v>
      </c>
      <c r="M758" s="17">
        <v>6.5</v>
      </c>
      <c r="N758" s="17">
        <f t="shared" si="33"/>
        <v>103.5</v>
      </c>
      <c r="O758" s="17">
        <v>82.5</v>
      </c>
      <c r="P758" s="17">
        <v>99.4</v>
      </c>
      <c r="Q758" s="17">
        <v>62.3</v>
      </c>
      <c r="R758" s="17">
        <f t="shared" si="34"/>
        <v>41.2</v>
      </c>
      <c r="S758" s="17">
        <v>50.1</v>
      </c>
      <c r="T758" s="17">
        <f t="shared" si="35"/>
        <v>32.4</v>
      </c>
    </row>
    <row r="759" spans="1:20" x14ac:dyDescent="0.35">
      <c r="A759" s="14" t="s">
        <v>101</v>
      </c>
      <c r="B759" s="15" t="s">
        <v>102</v>
      </c>
      <c r="C759" s="15" t="s">
        <v>93</v>
      </c>
      <c r="D759" s="15" t="s">
        <v>97</v>
      </c>
      <c r="E759" s="15" t="s">
        <v>91</v>
      </c>
      <c r="F759" s="15" t="s">
        <v>81</v>
      </c>
      <c r="G759" s="15" t="s">
        <v>82</v>
      </c>
      <c r="H759" s="15" t="s">
        <v>71</v>
      </c>
      <c r="I759" s="16">
        <v>7519</v>
      </c>
      <c r="J759" s="16">
        <v>6226</v>
      </c>
      <c r="K759" s="16">
        <v>7318</v>
      </c>
      <c r="L759" s="17">
        <v>73.2</v>
      </c>
      <c r="M759" s="17">
        <v>3.9</v>
      </c>
      <c r="N759" s="17">
        <f t="shared" si="33"/>
        <v>69.3</v>
      </c>
      <c r="O759" s="17">
        <v>54.6</v>
      </c>
      <c r="P759" s="17">
        <v>66.7</v>
      </c>
      <c r="Q759" s="17">
        <v>42.4</v>
      </c>
      <c r="R759" s="17">
        <f t="shared" si="34"/>
        <v>26.9</v>
      </c>
      <c r="S759" s="17">
        <v>33.700000000000003</v>
      </c>
      <c r="T759" s="17">
        <f t="shared" si="35"/>
        <v>20.9</v>
      </c>
    </row>
    <row r="760" spans="1:20" x14ac:dyDescent="0.35">
      <c r="A760" s="14" t="s">
        <v>101</v>
      </c>
      <c r="B760" s="15" t="s">
        <v>102</v>
      </c>
      <c r="C760" s="15" t="s">
        <v>93</v>
      </c>
      <c r="D760" s="15" t="s">
        <v>97</v>
      </c>
      <c r="E760" s="15" t="s">
        <v>91</v>
      </c>
      <c r="F760" s="15" t="s">
        <v>83</v>
      </c>
      <c r="G760" s="15" t="s">
        <v>84</v>
      </c>
      <c r="H760" s="15" t="s">
        <v>72</v>
      </c>
      <c r="I760" s="16">
        <v>7558</v>
      </c>
      <c r="J760" s="16">
        <v>5694</v>
      </c>
      <c r="K760" s="16">
        <v>7342</v>
      </c>
      <c r="L760" s="17">
        <v>226.4</v>
      </c>
      <c r="M760" s="17">
        <v>11.5</v>
      </c>
      <c r="N760" s="17">
        <f t="shared" si="33"/>
        <v>214.9</v>
      </c>
      <c r="O760" s="17">
        <v>154.69999999999999</v>
      </c>
      <c r="P760" s="17">
        <v>205.2</v>
      </c>
      <c r="Q760" s="17">
        <v>121.5</v>
      </c>
      <c r="R760" s="17">
        <f t="shared" si="34"/>
        <v>93.4</v>
      </c>
      <c r="S760" s="17">
        <v>89.4</v>
      </c>
      <c r="T760" s="17">
        <f t="shared" si="35"/>
        <v>65.299999999999983</v>
      </c>
    </row>
    <row r="761" spans="1:20" x14ac:dyDescent="0.35">
      <c r="A761" s="14" t="s">
        <v>101</v>
      </c>
      <c r="B761" s="15" t="s">
        <v>102</v>
      </c>
      <c r="C761" s="15" t="s">
        <v>93</v>
      </c>
      <c r="D761" s="15" t="s">
        <v>97</v>
      </c>
      <c r="E761" s="15" t="s">
        <v>92</v>
      </c>
      <c r="F761" s="15" t="s">
        <v>67</v>
      </c>
      <c r="G761" s="15" t="s">
        <v>68</v>
      </c>
      <c r="H761" s="15" t="s">
        <v>69</v>
      </c>
      <c r="I761" s="16">
        <v>156201</v>
      </c>
      <c r="J761" s="16">
        <v>117624</v>
      </c>
      <c r="K761" s="16">
        <v>151821</v>
      </c>
      <c r="L761" s="17">
        <v>733.3</v>
      </c>
      <c r="M761" s="17">
        <v>65.7</v>
      </c>
      <c r="N761" s="17">
        <f t="shared" si="33"/>
        <v>667.59999999999991</v>
      </c>
      <c r="O761" s="17">
        <v>477.7</v>
      </c>
      <c r="P761" s="17">
        <v>646.79999999999995</v>
      </c>
      <c r="Q761" s="17">
        <v>363.6</v>
      </c>
      <c r="R761" s="17">
        <f t="shared" si="34"/>
        <v>303.99999999999989</v>
      </c>
      <c r="S761" s="17">
        <v>265.89999999999998</v>
      </c>
      <c r="T761" s="17">
        <f t="shared" si="35"/>
        <v>211.8</v>
      </c>
    </row>
    <row r="762" spans="1:20" x14ac:dyDescent="0.35">
      <c r="A762" s="14" t="s">
        <v>101</v>
      </c>
      <c r="B762" s="15" t="s">
        <v>102</v>
      </c>
      <c r="C762" s="15" t="s">
        <v>93</v>
      </c>
      <c r="D762" s="15" t="s">
        <v>97</v>
      </c>
      <c r="E762" s="15" t="s">
        <v>92</v>
      </c>
      <c r="F762" s="15" t="s">
        <v>67</v>
      </c>
      <c r="G762" s="15" t="s">
        <v>68</v>
      </c>
      <c r="H762" s="15" t="s">
        <v>70</v>
      </c>
      <c r="I762" s="16">
        <v>128577</v>
      </c>
      <c r="J762" s="16">
        <v>94912</v>
      </c>
      <c r="K762" s="16">
        <v>124054</v>
      </c>
      <c r="L762" s="17">
        <v>702.1</v>
      </c>
      <c r="M762" s="17">
        <v>58.8</v>
      </c>
      <c r="N762" s="17">
        <f t="shared" si="33"/>
        <v>643.30000000000007</v>
      </c>
      <c r="O762" s="17">
        <v>454.2</v>
      </c>
      <c r="P762" s="17">
        <v>619.29999999999995</v>
      </c>
      <c r="Q762" s="17">
        <v>368.9</v>
      </c>
      <c r="R762" s="17">
        <f t="shared" si="34"/>
        <v>274.40000000000009</v>
      </c>
      <c r="S762" s="17">
        <v>262.3</v>
      </c>
      <c r="T762" s="17">
        <f t="shared" si="35"/>
        <v>191.89999999999998</v>
      </c>
    </row>
    <row r="763" spans="1:20" x14ac:dyDescent="0.35">
      <c r="A763" s="14" t="s">
        <v>101</v>
      </c>
      <c r="B763" s="15" t="s">
        <v>102</v>
      </c>
      <c r="C763" s="15" t="s">
        <v>93</v>
      </c>
      <c r="D763" s="15" t="s">
        <v>97</v>
      </c>
      <c r="E763" s="15" t="s">
        <v>92</v>
      </c>
      <c r="F763" s="15" t="s">
        <v>67</v>
      </c>
      <c r="G763" s="15" t="s">
        <v>68</v>
      </c>
      <c r="H763" s="15" t="s">
        <v>71</v>
      </c>
      <c r="I763" s="16">
        <v>149993</v>
      </c>
      <c r="J763" s="16">
        <v>111943</v>
      </c>
      <c r="K763" s="16">
        <v>146576</v>
      </c>
      <c r="L763" s="17">
        <v>988.8</v>
      </c>
      <c r="M763" s="17">
        <v>77.400000000000006</v>
      </c>
      <c r="N763" s="17">
        <f t="shared" si="33"/>
        <v>911.4</v>
      </c>
      <c r="O763" s="17">
        <v>648.6</v>
      </c>
      <c r="P763" s="17">
        <v>877.6</v>
      </c>
      <c r="Q763" s="17">
        <v>553.29999999999995</v>
      </c>
      <c r="R763" s="17">
        <f t="shared" si="34"/>
        <v>358.1</v>
      </c>
      <c r="S763" s="17">
        <v>400.2</v>
      </c>
      <c r="T763" s="17">
        <f t="shared" si="35"/>
        <v>248.40000000000003</v>
      </c>
    </row>
    <row r="764" spans="1:20" x14ac:dyDescent="0.35">
      <c r="A764" s="14" t="s">
        <v>101</v>
      </c>
      <c r="B764" s="15" t="s">
        <v>102</v>
      </c>
      <c r="C764" s="15" t="s">
        <v>93</v>
      </c>
      <c r="D764" s="15" t="s">
        <v>97</v>
      </c>
      <c r="E764" s="15" t="s">
        <v>92</v>
      </c>
      <c r="F764" s="15" t="s">
        <v>67</v>
      </c>
      <c r="G764" s="15" t="s">
        <v>68</v>
      </c>
      <c r="H764" s="15" t="s">
        <v>72</v>
      </c>
      <c r="I764" s="16">
        <v>33636</v>
      </c>
      <c r="J764" s="16">
        <v>25193</v>
      </c>
      <c r="K764" s="16">
        <v>32728</v>
      </c>
      <c r="L764" s="17">
        <v>302.7</v>
      </c>
      <c r="M764" s="17">
        <v>26.6</v>
      </c>
      <c r="N764" s="17">
        <f t="shared" si="33"/>
        <v>276.09999999999997</v>
      </c>
      <c r="O764" s="17">
        <v>198.7</v>
      </c>
      <c r="P764" s="17">
        <v>264.7</v>
      </c>
      <c r="Q764" s="17">
        <v>177.2</v>
      </c>
      <c r="R764" s="17">
        <f t="shared" si="34"/>
        <v>98.899999999999977</v>
      </c>
      <c r="S764" s="17">
        <v>128.69999999999999</v>
      </c>
      <c r="T764" s="17">
        <f t="shared" si="35"/>
        <v>70</v>
      </c>
    </row>
    <row r="765" spans="1:20" x14ac:dyDescent="0.35">
      <c r="A765" s="14" t="s">
        <v>101</v>
      </c>
      <c r="B765" s="15" t="s">
        <v>102</v>
      </c>
      <c r="C765" s="15" t="s">
        <v>93</v>
      </c>
      <c r="D765" s="15" t="s">
        <v>97</v>
      </c>
      <c r="E765" s="15" t="s">
        <v>92</v>
      </c>
      <c r="F765" s="15" t="s">
        <v>67</v>
      </c>
      <c r="G765" s="15" t="s">
        <v>73</v>
      </c>
      <c r="H765" s="15" t="s">
        <v>71</v>
      </c>
      <c r="I765" s="16">
        <v>36853</v>
      </c>
      <c r="J765" s="16">
        <v>25794</v>
      </c>
      <c r="K765" s="16">
        <v>35827</v>
      </c>
      <c r="L765" s="17">
        <v>245.4</v>
      </c>
      <c r="M765" s="17">
        <v>19.3</v>
      </c>
      <c r="N765" s="17">
        <f t="shared" si="33"/>
        <v>226.1</v>
      </c>
      <c r="O765" s="17">
        <v>150.6</v>
      </c>
      <c r="P765" s="17">
        <v>216.4</v>
      </c>
      <c r="Q765" s="17">
        <v>137</v>
      </c>
      <c r="R765" s="17">
        <f t="shared" si="34"/>
        <v>89.1</v>
      </c>
      <c r="S765" s="17">
        <v>93.1</v>
      </c>
      <c r="T765" s="17">
        <f t="shared" si="35"/>
        <v>57.5</v>
      </c>
    </row>
    <row r="766" spans="1:20" x14ac:dyDescent="0.35">
      <c r="A766" s="14" t="s">
        <v>101</v>
      </c>
      <c r="B766" s="15" t="s">
        <v>102</v>
      </c>
      <c r="C766" s="15" t="s">
        <v>93</v>
      </c>
      <c r="D766" s="15" t="s">
        <v>97</v>
      </c>
      <c r="E766" s="15" t="s">
        <v>92</v>
      </c>
      <c r="F766" s="15" t="s">
        <v>67</v>
      </c>
      <c r="G766" s="15" t="s">
        <v>73</v>
      </c>
      <c r="H766" s="15" t="s">
        <v>72</v>
      </c>
      <c r="I766" s="16">
        <v>10714</v>
      </c>
      <c r="J766" s="16">
        <v>7408</v>
      </c>
      <c r="K766" s="16">
        <v>10422</v>
      </c>
      <c r="L766" s="17">
        <v>97.4</v>
      </c>
      <c r="M766" s="17">
        <v>8.5</v>
      </c>
      <c r="N766" s="17">
        <f t="shared" si="33"/>
        <v>88.9</v>
      </c>
      <c r="O766" s="17">
        <v>58.3</v>
      </c>
      <c r="P766" s="17">
        <v>84.8</v>
      </c>
      <c r="Q766" s="17">
        <v>58.1</v>
      </c>
      <c r="R766" s="17">
        <f t="shared" si="34"/>
        <v>30.800000000000004</v>
      </c>
      <c r="S766" s="17">
        <v>38.4</v>
      </c>
      <c r="T766" s="17">
        <f t="shared" si="35"/>
        <v>19.899999999999999</v>
      </c>
    </row>
    <row r="767" spans="1:20" x14ac:dyDescent="0.35">
      <c r="A767" s="14" t="s">
        <v>101</v>
      </c>
      <c r="B767" s="15" t="s">
        <v>102</v>
      </c>
      <c r="C767" s="15" t="s">
        <v>93</v>
      </c>
      <c r="D767" s="15" t="s">
        <v>97</v>
      </c>
      <c r="E767" s="15" t="s">
        <v>92</v>
      </c>
      <c r="F767" s="15" t="s">
        <v>67</v>
      </c>
      <c r="G767" s="15" t="s">
        <v>74</v>
      </c>
      <c r="H767" s="15" t="s">
        <v>70</v>
      </c>
      <c r="I767" s="16">
        <v>54855</v>
      </c>
      <c r="J767" s="16">
        <v>40124</v>
      </c>
      <c r="K767" s="16">
        <v>53621</v>
      </c>
      <c r="L767" s="17">
        <v>285.39999999999998</v>
      </c>
      <c r="M767" s="17">
        <v>25.6</v>
      </c>
      <c r="N767" s="17">
        <f t="shared" si="33"/>
        <v>259.79999999999995</v>
      </c>
      <c r="O767" s="17">
        <v>181.3</v>
      </c>
      <c r="P767" s="17">
        <v>249.8</v>
      </c>
      <c r="Q767" s="17">
        <v>146.9</v>
      </c>
      <c r="R767" s="17">
        <f t="shared" si="34"/>
        <v>112.89999999999995</v>
      </c>
      <c r="S767" s="17">
        <v>104.9</v>
      </c>
      <c r="T767" s="17">
        <f t="shared" si="35"/>
        <v>76.400000000000006</v>
      </c>
    </row>
    <row r="768" spans="1:20" x14ac:dyDescent="0.35">
      <c r="A768" s="14" t="s">
        <v>101</v>
      </c>
      <c r="B768" s="15" t="s">
        <v>102</v>
      </c>
      <c r="C768" s="15" t="s">
        <v>93</v>
      </c>
      <c r="D768" s="15" t="s">
        <v>97</v>
      </c>
      <c r="E768" s="15" t="s">
        <v>92</v>
      </c>
      <c r="F768" s="15" t="s">
        <v>67</v>
      </c>
      <c r="G768" s="15" t="s">
        <v>74</v>
      </c>
      <c r="H768" s="15" t="s">
        <v>71</v>
      </c>
      <c r="I768" s="16">
        <v>59006</v>
      </c>
      <c r="J768" s="16">
        <v>44037</v>
      </c>
      <c r="K768" s="16">
        <v>56892</v>
      </c>
      <c r="L768" s="17">
        <v>402.1</v>
      </c>
      <c r="M768" s="17">
        <v>35.299999999999997</v>
      </c>
      <c r="N768" s="17">
        <f t="shared" si="33"/>
        <v>366.8</v>
      </c>
      <c r="O768" s="17">
        <v>258.8</v>
      </c>
      <c r="P768" s="17">
        <v>351</v>
      </c>
      <c r="Q768" s="17">
        <v>227.8</v>
      </c>
      <c r="R768" s="17">
        <f t="shared" si="34"/>
        <v>139</v>
      </c>
      <c r="S768" s="17">
        <v>161.80000000000001</v>
      </c>
      <c r="T768" s="17">
        <f t="shared" si="35"/>
        <v>97</v>
      </c>
    </row>
    <row r="769" spans="1:20" x14ac:dyDescent="0.35">
      <c r="A769" s="14" t="s">
        <v>101</v>
      </c>
      <c r="B769" s="15" t="s">
        <v>102</v>
      </c>
      <c r="C769" s="15" t="s">
        <v>93</v>
      </c>
      <c r="D769" s="15" t="s">
        <v>97</v>
      </c>
      <c r="E769" s="15" t="s">
        <v>92</v>
      </c>
      <c r="F769" s="15" t="s">
        <v>67</v>
      </c>
      <c r="G769" s="15" t="s">
        <v>75</v>
      </c>
      <c r="H769" s="15" t="s">
        <v>71</v>
      </c>
      <c r="I769" s="16">
        <v>40612</v>
      </c>
      <c r="J769" s="16">
        <v>30195</v>
      </c>
      <c r="K769" s="16">
        <v>39145</v>
      </c>
      <c r="L769" s="17">
        <v>267.8</v>
      </c>
      <c r="M769" s="17">
        <v>24</v>
      </c>
      <c r="N769" s="17">
        <f t="shared" si="33"/>
        <v>243.8</v>
      </c>
      <c r="O769" s="17">
        <v>173</v>
      </c>
      <c r="P769" s="17">
        <v>236.6</v>
      </c>
      <c r="Q769" s="17">
        <v>152.4</v>
      </c>
      <c r="R769" s="17">
        <f t="shared" si="34"/>
        <v>91.4</v>
      </c>
      <c r="S769" s="17">
        <v>110.1</v>
      </c>
      <c r="T769" s="17">
        <f t="shared" si="35"/>
        <v>62.900000000000006</v>
      </c>
    </row>
    <row r="770" spans="1:20" x14ac:dyDescent="0.35">
      <c r="A770" s="14" t="s">
        <v>101</v>
      </c>
      <c r="B770" s="15" t="s">
        <v>102</v>
      </c>
      <c r="C770" s="15" t="s">
        <v>93</v>
      </c>
      <c r="D770" s="15" t="s">
        <v>97</v>
      </c>
      <c r="E770" s="15" t="s">
        <v>92</v>
      </c>
      <c r="F770" s="15" t="s">
        <v>67</v>
      </c>
      <c r="G770" s="15" t="s">
        <v>76</v>
      </c>
      <c r="H770" s="15" t="s">
        <v>72</v>
      </c>
      <c r="I770" s="16">
        <v>8871</v>
      </c>
      <c r="J770" s="16">
        <v>6505</v>
      </c>
      <c r="K770" s="16">
        <v>8655</v>
      </c>
      <c r="L770" s="17">
        <v>101.1</v>
      </c>
      <c r="M770" s="17">
        <v>8.6999999999999993</v>
      </c>
      <c r="N770" s="17">
        <f t="shared" si="33"/>
        <v>92.399999999999991</v>
      </c>
      <c r="O770" s="17">
        <v>64.3</v>
      </c>
      <c r="P770" s="17">
        <v>89.7</v>
      </c>
      <c r="Q770" s="17">
        <v>56.5</v>
      </c>
      <c r="R770" s="17">
        <f t="shared" si="34"/>
        <v>35.899999999999991</v>
      </c>
      <c r="S770" s="17">
        <v>39.700000000000003</v>
      </c>
      <c r="T770" s="17">
        <f t="shared" si="35"/>
        <v>24.599999999999994</v>
      </c>
    </row>
    <row r="771" spans="1:20" x14ac:dyDescent="0.35">
      <c r="A771" s="14" t="s">
        <v>101</v>
      </c>
      <c r="B771" s="15" t="s">
        <v>102</v>
      </c>
      <c r="C771" s="15" t="s">
        <v>93</v>
      </c>
      <c r="D771" s="15" t="s">
        <v>97</v>
      </c>
      <c r="E771" s="15" t="s">
        <v>92</v>
      </c>
      <c r="F771" s="15" t="s">
        <v>79</v>
      </c>
      <c r="G771" s="15" t="s">
        <v>95</v>
      </c>
      <c r="H771" s="15" t="s">
        <v>71</v>
      </c>
      <c r="I771" s="16">
        <v>41003</v>
      </c>
      <c r="J771" s="16">
        <v>30038</v>
      </c>
      <c r="K771" s="16">
        <v>40055</v>
      </c>
      <c r="L771" s="17">
        <v>165.2</v>
      </c>
      <c r="M771" s="17">
        <v>14.1</v>
      </c>
      <c r="N771" s="17">
        <f t="shared" si="33"/>
        <v>151.1</v>
      </c>
      <c r="O771" s="17">
        <v>104.5</v>
      </c>
      <c r="P771" s="17">
        <v>145.9</v>
      </c>
      <c r="Q771" s="17">
        <v>91.4</v>
      </c>
      <c r="R771" s="17">
        <f t="shared" si="34"/>
        <v>59.699999999999989</v>
      </c>
      <c r="S771" s="17">
        <v>63.7</v>
      </c>
      <c r="T771" s="17">
        <f t="shared" si="35"/>
        <v>40.799999999999997</v>
      </c>
    </row>
    <row r="772" spans="1:20" x14ac:dyDescent="0.35">
      <c r="A772" s="14" t="s">
        <v>101</v>
      </c>
      <c r="B772" s="15" t="s">
        <v>102</v>
      </c>
      <c r="C772" s="15" t="s">
        <v>93</v>
      </c>
      <c r="D772" s="15" t="s">
        <v>97</v>
      </c>
      <c r="E772" s="15" t="s">
        <v>92</v>
      </c>
      <c r="F772" s="15" t="s">
        <v>81</v>
      </c>
      <c r="G772" s="15" t="s">
        <v>82</v>
      </c>
      <c r="H772" s="15" t="s">
        <v>71</v>
      </c>
      <c r="I772" s="16">
        <v>15959</v>
      </c>
      <c r="J772" s="16">
        <v>11613</v>
      </c>
      <c r="K772" s="16">
        <v>15438</v>
      </c>
      <c r="L772" s="17">
        <v>140.5</v>
      </c>
      <c r="M772" s="17">
        <v>10</v>
      </c>
      <c r="N772" s="17">
        <f t="shared" ref="N772:N835" si="36">L772-M772</f>
        <v>130.5</v>
      </c>
      <c r="O772" s="17">
        <v>90.9</v>
      </c>
      <c r="P772" s="17">
        <v>124.6</v>
      </c>
      <c r="Q772" s="17">
        <v>81.8</v>
      </c>
      <c r="R772" s="17">
        <f t="shared" ref="R772:R835" si="37">N772-Q772</f>
        <v>48.7</v>
      </c>
      <c r="S772" s="17">
        <v>58.2</v>
      </c>
      <c r="T772" s="17">
        <f t="shared" ref="T772:T835" si="38">O772-S772</f>
        <v>32.700000000000003</v>
      </c>
    </row>
    <row r="773" spans="1:20" x14ac:dyDescent="0.35">
      <c r="A773" s="14" t="s">
        <v>101</v>
      </c>
      <c r="B773" s="15" t="s">
        <v>102</v>
      </c>
      <c r="C773" s="15" t="s">
        <v>93</v>
      </c>
      <c r="D773" s="15" t="s">
        <v>97</v>
      </c>
      <c r="E773" s="15" t="s">
        <v>92</v>
      </c>
      <c r="F773" s="15" t="s">
        <v>83</v>
      </c>
      <c r="G773" s="15" t="s">
        <v>84</v>
      </c>
      <c r="H773" s="15" t="s">
        <v>72</v>
      </c>
      <c r="I773" s="16">
        <v>6678</v>
      </c>
      <c r="J773" s="16">
        <v>4467</v>
      </c>
      <c r="K773" s="16">
        <v>6434</v>
      </c>
      <c r="L773" s="17">
        <v>186.1</v>
      </c>
      <c r="M773" s="17">
        <v>14</v>
      </c>
      <c r="N773" s="17">
        <f t="shared" si="36"/>
        <v>172.1</v>
      </c>
      <c r="O773" s="17">
        <v>109.7</v>
      </c>
      <c r="P773" s="17">
        <v>166.7</v>
      </c>
      <c r="Q773" s="17">
        <v>101.6</v>
      </c>
      <c r="R773" s="17">
        <f t="shared" si="37"/>
        <v>70.5</v>
      </c>
      <c r="S773" s="17">
        <v>66</v>
      </c>
      <c r="T773" s="17">
        <f t="shared" si="38"/>
        <v>43.7</v>
      </c>
    </row>
    <row r="774" spans="1:20" x14ac:dyDescent="0.35">
      <c r="A774" s="14" t="s">
        <v>101</v>
      </c>
      <c r="B774" s="15" t="s">
        <v>102</v>
      </c>
      <c r="C774" s="15" t="s">
        <v>93</v>
      </c>
      <c r="D774" s="15" t="s">
        <v>98</v>
      </c>
      <c r="E774" s="15" t="s">
        <v>66</v>
      </c>
      <c r="F774" s="15" t="s">
        <v>67</v>
      </c>
      <c r="G774" s="15" t="s">
        <v>68</v>
      </c>
      <c r="H774" s="15" t="s">
        <v>69</v>
      </c>
      <c r="I774" s="16">
        <v>80046</v>
      </c>
      <c r="J774" s="16">
        <v>72657</v>
      </c>
      <c r="K774" s="16">
        <v>77364</v>
      </c>
      <c r="L774" s="17">
        <v>377.3</v>
      </c>
      <c r="M774" s="17">
        <v>55.1</v>
      </c>
      <c r="N774" s="17">
        <f t="shared" si="36"/>
        <v>322.2</v>
      </c>
      <c r="O774" s="17">
        <v>277</v>
      </c>
      <c r="P774" s="17">
        <v>308.5</v>
      </c>
      <c r="Q774" s="17">
        <v>181.5</v>
      </c>
      <c r="R774" s="17">
        <f t="shared" si="37"/>
        <v>140.69999999999999</v>
      </c>
      <c r="S774" s="17">
        <v>159.19999999999999</v>
      </c>
      <c r="T774" s="17">
        <f t="shared" si="38"/>
        <v>117.80000000000001</v>
      </c>
    </row>
    <row r="775" spans="1:20" x14ac:dyDescent="0.35">
      <c r="A775" s="14" t="s">
        <v>101</v>
      </c>
      <c r="B775" s="15" t="s">
        <v>102</v>
      </c>
      <c r="C775" s="15" t="s">
        <v>93</v>
      </c>
      <c r="D775" s="15" t="s">
        <v>98</v>
      </c>
      <c r="E775" s="15" t="s">
        <v>66</v>
      </c>
      <c r="F775" s="15" t="s">
        <v>67</v>
      </c>
      <c r="G775" s="15" t="s">
        <v>68</v>
      </c>
      <c r="H775" s="15" t="s">
        <v>70</v>
      </c>
      <c r="I775" s="16">
        <v>124280</v>
      </c>
      <c r="J775" s="16">
        <v>110401</v>
      </c>
      <c r="K775" s="16">
        <v>121223</v>
      </c>
      <c r="L775" s="17">
        <v>649.6</v>
      </c>
      <c r="M775" s="17">
        <v>89.9</v>
      </c>
      <c r="N775" s="17">
        <f t="shared" si="36"/>
        <v>559.70000000000005</v>
      </c>
      <c r="O775" s="17">
        <v>475.5</v>
      </c>
      <c r="P775" s="17">
        <v>543.29999999999995</v>
      </c>
      <c r="Q775" s="17">
        <v>325.2</v>
      </c>
      <c r="R775" s="17">
        <f t="shared" si="37"/>
        <v>234.50000000000006</v>
      </c>
      <c r="S775" s="17">
        <v>281.8</v>
      </c>
      <c r="T775" s="17">
        <f t="shared" si="38"/>
        <v>193.7</v>
      </c>
    </row>
    <row r="776" spans="1:20" x14ac:dyDescent="0.35">
      <c r="A776" s="14" t="s">
        <v>101</v>
      </c>
      <c r="B776" s="15" t="s">
        <v>102</v>
      </c>
      <c r="C776" s="15" t="s">
        <v>93</v>
      </c>
      <c r="D776" s="15" t="s">
        <v>98</v>
      </c>
      <c r="E776" s="15" t="s">
        <v>66</v>
      </c>
      <c r="F776" s="15" t="s">
        <v>67</v>
      </c>
      <c r="G776" s="15" t="s">
        <v>68</v>
      </c>
      <c r="H776" s="15" t="s">
        <v>71</v>
      </c>
      <c r="I776" s="16">
        <v>279303</v>
      </c>
      <c r="J776" s="16">
        <v>249457</v>
      </c>
      <c r="K776" s="16">
        <v>271389</v>
      </c>
      <c r="L776" s="17">
        <v>1876.2</v>
      </c>
      <c r="M776" s="17">
        <v>278.5</v>
      </c>
      <c r="N776" s="17">
        <f t="shared" si="36"/>
        <v>1597.7</v>
      </c>
      <c r="O776" s="17">
        <v>1350.5</v>
      </c>
      <c r="P776" s="17">
        <v>1533.2</v>
      </c>
      <c r="Q776" s="17">
        <v>1013.7</v>
      </c>
      <c r="R776" s="17">
        <f t="shared" si="37"/>
        <v>584</v>
      </c>
      <c r="S776" s="17">
        <v>869.3</v>
      </c>
      <c r="T776" s="17">
        <f t="shared" si="38"/>
        <v>481.20000000000005</v>
      </c>
    </row>
    <row r="777" spans="1:20" x14ac:dyDescent="0.35">
      <c r="A777" s="14" t="s">
        <v>101</v>
      </c>
      <c r="B777" s="15" t="s">
        <v>102</v>
      </c>
      <c r="C777" s="15" t="s">
        <v>93</v>
      </c>
      <c r="D777" s="15" t="s">
        <v>98</v>
      </c>
      <c r="E777" s="15" t="s">
        <v>66</v>
      </c>
      <c r="F777" s="15" t="s">
        <v>67</v>
      </c>
      <c r="G777" s="15" t="s">
        <v>68</v>
      </c>
      <c r="H777" s="15" t="s">
        <v>72</v>
      </c>
      <c r="I777" s="16">
        <v>101131</v>
      </c>
      <c r="J777" s="16">
        <v>90046</v>
      </c>
      <c r="K777" s="16">
        <v>98105</v>
      </c>
      <c r="L777" s="17">
        <v>896.4</v>
      </c>
      <c r="M777" s="17">
        <v>118</v>
      </c>
      <c r="N777" s="17">
        <f t="shared" si="36"/>
        <v>778.4</v>
      </c>
      <c r="O777" s="17">
        <v>663.7</v>
      </c>
      <c r="P777" s="17">
        <v>747.6</v>
      </c>
      <c r="Q777" s="17">
        <v>489.9</v>
      </c>
      <c r="R777" s="17">
        <f t="shared" si="37"/>
        <v>288.5</v>
      </c>
      <c r="S777" s="17">
        <v>421.4</v>
      </c>
      <c r="T777" s="17">
        <f t="shared" si="38"/>
        <v>242.30000000000007</v>
      </c>
    </row>
    <row r="778" spans="1:20" x14ac:dyDescent="0.35">
      <c r="A778" s="14" t="s">
        <v>101</v>
      </c>
      <c r="B778" s="15" t="s">
        <v>102</v>
      </c>
      <c r="C778" s="15" t="s">
        <v>93</v>
      </c>
      <c r="D778" s="15" t="s">
        <v>98</v>
      </c>
      <c r="E778" s="15" t="s">
        <v>66</v>
      </c>
      <c r="F778" s="15" t="s">
        <v>67</v>
      </c>
      <c r="G778" s="15" t="s">
        <v>73</v>
      </c>
      <c r="H778" s="15" t="s">
        <v>71</v>
      </c>
      <c r="I778" s="16">
        <v>74079</v>
      </c>
      <c r="J778" s="16">
        <v>60621</v>
      </c>
      <c r="K778" s="16">
        <v>72623</v>
      </c>
      <c r="L778" s="17">
        <v>485.5</v>
      </c>
      <c r="M778" s="17">
        <v>66.8</v>
      </c>
      <c r="N778" s="17">
        <f t="shared" si="36"/>
        <v>418.7</v>
      </c>
      <c r="O778" s="17">
        <v>326.3</v>
      </c>
      <c r="P778" s="17">
        <v>400.6</v>
      </c>
      <c r="Q778" s="17">
        <v>258.89999999999998</v>
      </c>
      <c r="R778" s="17">
        <f t="shared" si="37"/>
        <v>159.80000000000001</v>
      </c>
      <c r="S778" s="17">
        <v>205.1</v>
      </c>
      <c r="T778" s="17">
        <f t="shared" si="38"/>
        <v>121.20000000000002</v>
      </c>
    </row>
    <row r="779" spans="1:20" x14ac:dyDescent="0.35">
      <c r="A779" s="14" t="s">
        <v>101</v>
      </c>
      <c r="B779" s="15" t="s">
        <v>102</v>
      </c>
      <c r="C779" s="15" t="s">
        <v>93</v>
      </c>
      <c r="D779" s="15" t="s">
        <v>98</v>
      </c>
      <c r="E779" s="15" t="s">
        <v>66</v>
      </c>
      <c r="F779" s="15" t="s">
        <v>67</v>
      </c>
      <c r="G779" s="15" t="s">
        <v>73</v>
      </c>
      <c r="H779" s="15" t="s">
        <v>72</v>
      </c>
      <c r="I779" s="16">
        <v>31135</v>
      </c>
      <c r="J779" s="16">
        <v>25229</v>
      </c>
      <c r="K779" s="16">
        <v>30062</v>
      </c>
      <c r="L779" s="17">
        <v>286.3</v>
      </c>
      <c r="M779" s="17">
        <v>39.6</v>
      </c>
      <c r="N779" s="17">
        <f t="shared" si="36"/>
        <v>246.70000000000002</v>
      </c>
      <c r="O779" s="17">
        <v>191.8</v>
      </c>
      <c r="P779" s="17">
        <v>238.2</v>
      </c>
      <c r="Q779" s="17">
        <v>158.4</v>
      </c>
      <c r="R779" s="17">
        <f t="shared" si="37"/>
        <v>88.300000000000011</v>
      </c>
      <c r="S779" s="17">
        <v>126</v>
      </c>
      <c r="T779" s="17">
        <f t="shared" si="38"/>
        <v>65.800000000000011</v>
      </c>
    </row>
    <row r="780" spans="1:20" x14ac:dyDescent="0.35">
      <c r="A780" s="14" t="s">
        <v>101</v>
      </c>
      <c r="B780" s="15" t="s">
        <v>102</v>
      </c>
      <c r="C780" s="15" t="s">
        <v>93</v>
      </c>
      <c r="D780" s="15" t="s">
        <v>98</v>
      </c>
      <c r="E780" s="15" t="s">
        <v>66</v>
      </c>
      <c r="F780" s="15" t="s">
        <v>67</v>
      </c>
      <c r="G780" s="15" t="s">
        <v>74</v>
      </c>
      <c r="H780" s="15" t="s">
        <v>70</v>
      </c>
      <c r="I780" s="16">
        <v>48774</v>
      </c>
      <c r="J780" s="16">
        <v>42448</v>
      </c>
      <c r="K780" s="16">
        <v>47617</v>
      </c>
      <c r="L780" s="17">
        <v>256</v>
      </c>
      <c r="M780" s="17">
        <v>37.799999999999997</v>
      </c>
      <c r="N780" s="17">
        <f t="shared" si="36"/>
        <v>218.2</v>
      </c>
      <c r="O780" s="17">
        <v>181.1</v>
      </c>
      <c r="P780" s="17">
        <v>210.9</v>
      </c>
      <c r="Q780" s="17">
        <v>126.7</v>
      </c>
      <c r="R780" s="17">
        <f t="shared" si="37"/>
        <v>91.499999999999986</v>
      </c>
      <c r="S780" s="17">
        <v>107.2</v>
      </c>
      <c r="T780" s="17">
        <f t="shared" si="38"/>
        <v>73.899999999999991</v>
      </c>
    </row>
    <row r="781" spans="1:20" x14ac:dyDescent="0.35">
      <c r="A781" s="14" t="s">
        <v>101</v>
      </c>
      <c r="B781" s="15" t="s">
        <v>102</v>
      </c>
      <c r="C781" s="15" t="s">
        <v>93</v>
      </c>
      <c r="D781" s="15" t="s">
        <v>98</v>
      </c>
      <c r="E781" s="15" t="s">
        <v>66</v>
      </c>
      <c r="F781" s="15" t="s">
        <v>67</v>
      </c>
      <c r="G781" s="15" t="s">
        <v>74</v>
      </c>
      <c r="H781" s="15" t="s">
        <v>71</v>
      </c>
      <c r="I781" s="16">
        <v>107661</v>
      </c>
      <c r="J781" s="16">
        <v>95914</v>
      </c>
      <c r="K781" s="16">
        <v>105302</v>
      </c>
      <c r="L781" s="17">
        <v>695.9</v>
      </c>
      <c r="M781" s="17">
        <v>90.6</v>
      </c>
      <c r="N781" s="17">
        <f t="shared" si="36"/>
        <v>605.29999999999995</v>
      </c>
      <c r="O781" s="17">
        <v>514.6</v>
      </c>
      <c r="P781" s="17">
        <v>587.9</v>
      </c>
      <c r="Q781" s="17">
        <v>373.1</v>
      </c>
      <c r="R781" s="17">
        <f t="shared" si="37"/>
        <v>232.19999999999993</v>
      </c>
      <c r="S781" s="17">
        <v>322.7</v>
      </c>
      <c r="T781" s="17">
        <f t="shared" si="38"/>
        <v>191.90000000000003</v>
      </c>
    </row>
    <row r="782" spans="1:20" x14ac:dyDescent="0.35">
      <c r="A782" s="14" t="s">
        <v>101</v>
      </c>
      <c r="B782" s="15" t="s">
        <v>102</v>
      </c>
      <c r="C782" s="15" t="s">
        <v>93</v>
      </c>
      <c r="D782" s="15" t="s">
        <v>98</v>
      </c>
      <c r="E782" s="15" t="s">
        <v>66</v>
      </c>
      <c r="F782" s="15" t="s">
        <v>67</v>
      </c>
      <c r="G782" s="15" t="s">
        <v>75</v>
      </c>
      <c r="H782" s="15" t="s">
        <v>71</v>
      </c>
      <c r="I782" s="16">
        <v>89634</v>
      </c>
      <c r="J782" s="16">
        <v>80682</v>
      </c>
      <c r="K782" s="16">
        <v>87119</v>
      </c>
      <c r="L782" s="17">
        <v>600.79999999999995</v>
      </c>
      <c r="M782" s="17">
        <v>86.2</v>
      </c>
      <c r="N782" s="17">
        <f t="shared" si="36"/>
        <v>514.59999999999991</v>
      </c>
      <c r="O782" s="17">
        <v>445</v>
      </c>
      <c r="P782" s="17">
        <v>499</v>
      </c>
      <c r="Q782" s="17">
        <v>324.60000000000002</v>
      </c>
      <c r="R782" s="17">
        <f t="shared" si="37"/>
        <v>189.99999999999989</v>
      </c>
      <c r="S782" s="17">
        <v>284.5</v>
      </c>
      <c r="T782" s="17">
        <f t="shared" si="38"/>
        <v>160.5</v>
      </c>
    </row>
    <row r="783" spans="1:20" x14ac:dyDescent="0.35">
      <c r="A783" s="14" t="s">
        <v>101</v>
      </c>
      <c r="B783" s="15" t="s">
        <v>102</v>
      </c>
      <c r="C783" s="15" t="s">
        <v>93</v>
      </c>
      <c r="D783" s="15" t="s">
        <v>98</v>
      </c>
      <c r="E783" s="15" t="s">
        <v>66</v>
      </c>
      <c r="F783" s="15" t="s">
        <v>67</v>
      </c>
      <c r="G783" s="15" t="s">
        <v>76</v>
      </c>
      <c r="H783" s="15" t="s">
        <v>72</v>
      </c>
      <c r="I783" s="16">
        <v>23634</v>
      </c>
      <c r="J783" s="16">
        <v>20698</v>
      </c>
      <c r="K783" s="16">
        <v>23049</v>
      </c>
      <c r="L783" s="17">
        <v>254.6</v>
      </c>
      <c r="M783" s="17">
        <v>34.5</v>
      </c>
      <c r="N783" s="17">
        <f t="shared" si="36"/>
        <v>220.1</v>
      </c>
      <c r="O783" s="17">
        <v>182.2</v>
      </c>
      <c r="P783" s="17">
        <v>211.8</v>
      </c>
      <c r="Q783" s="17">
        <v>136.80000000000001</v>
      </c>
      <c r="R783" s="17">
        <f t="shared" si="37"/>
        <v>83.299999999999983</v>
      </c>
      <c r="S783" s="17">
        <v>115.6</v>
      </c>
      <c r="T783" s="17">
        <f t="shared" si="38"/>
        <v>66.599999999999994</v>
      </c>
    </row>
    <row r="784" spans="1:20" x14ac:dyDescent="0.35">
      <c r="A784" s="14" t="s">
        <v>101</v>
      </c>
      <c r="B784" s="15" t="s">
        <v>102</v>
      </c>
      <c r="C784" s="15" t="s">
        <v>93</v>
      </c>
      <c r="D784" s="15" t="s">
        <v>98</v>
      </c>
      <c r="E784" s="15" t="s">
        <v>66</v>
      </c>
      <c r="F784" s="15" t="s">
        <v>79</v>
      </c>
      <c r="G784" s="15" t="s">
        <v>95</v>
      </c>
      <c r="H784" s="15" t="s">
        <v>71</v>
      </c>
      <c r="I784" s="16">
        <v>81447</v>
      </c>
      <c r="J784" s="16">
        <v>70844</v>
      </c>
      <c r="K784" s="16">
        <v>79596</v>
      </c>
      <c r="L784" s="17">
        <v>324.3</v>
      </c>
      <c r="M784" s="17">
        <v>43.5</v>
      </c>
      <c r="N784" s="17">
        <f t="shared" si="36"/>
        <v>280.8</v>
      </c>
      <c r="O784" s="17">
        <v>231.9</v>
      </c>
      <c r="P784" s="17">
        <v>271.39999999999998</v>
      </c>
      <c r="Q784" s="17">
        <v>171.2</v>
      </c>
      <c r="R784" s="17">
        <f t="shared" si="37"/>
        <v>109.60000000000002</v>
      </c>
      <c r="S784" s="17">
        <v>142.6</v>
      </c>
      <c r="T784" s="17">
        <f t="shared" si="38"/>
        <v>89.300000000000011</v>
      </c>
    </row>
    <row r="785" spans="1:20" x14ac:dyDescent="0.35">
      <c r="A785" s="14" t="s">
        <v>101</v>
      </c>
      <c r="B785" s="15" t="s">
        <v>102</v>
      </c>
      <c r="C785" s="15" t="s">
        <v>93</v>
      </c>
      <c r="D785" s="15" t="s">
        <v>98</v>
      </c>
      <c r="E785" s="15" t="s">
        <v>66</v>
      </c>
      <c r="F785" s="15" t="s">
        <v>81</v>
      </c>
      <c r="G785" s="15" t="s">
        <v>82</v>
      </c>
      <c r="H785" s="15" t="s">
        <v>71</v>
      </c>
      <c r="I785" s="16">
        <v>28204</v>
      </c>
      <c r="J785" s="16">
        <v>24324</v>
      </c>
      <c r="K785" s="16">
        <v>27305</v>
      </c>
      <c r="L785" s="17">
        <v>243.6</v>
      </c>
      <c r="M785" s="17">
        <v>32.200000000000003</v>
      </c>
      <c r="N785" s="17">
        <f t="shared" si="36"/>
        <v>211.39999999999998</v>
      </c>
      <c r="O785" s="17">
        <v>173.7</v>
      </c>
      <c r="P785" s="17">
        <v>203.7</v>
      </c>
      <c r="Q785" s="17">
        <v>132.69999999999999</v>
      </c>
      <c r="R785" s="17">
        <f t="shared" si="37"/>
        <v>78.699999999999989</v>
      </c>
      <c r="S785" s="17">
        <v>111</v>
      </c>
      <c r="T785" s="17">
        <f t="shared" si="38"/>
        <v>62.699999999999989</v>
      </c>
    </row>
    <row r="786" spans="1:20" x14ac:dyDescent="0.35">
      <c r="A786" s="14" t="s">
        <v>101</v>
      </c>
      <c r="B786" s="15" t="s">
        <v>102</v>
      </c>
      <c r="C786" s="15" t="s">
        <v>93</v>
      </c>
      <c r="D786" s="15" t="s">
        <v>98</v>
      </c>
      <c r="E786" s="15" t="s">
        <v>66</v>
      </c>
      <c r="F786" s="15" t="s">
        <v>83</v>
      </c>
      <c r="G786" s="15" t="s">
        <v>84</v>
      </c>
      <c r="H786" s="15" t="s">
        <v>72</v>
      </c>
      <c r="I786" s="16">
        <v>26995</v>
      </c>
      <c r="J786" s="16">
        <v>21131</v>
      </c>
      <c r="K786" s="16">
        <v>26197</v>
      </c>
      <c r="L786" s="17">
        <v>719</v>
      </c>
      <c r="M786" s="17">
        <v>94.7</v>
      </c>
      <c r="N786" s="17">
        <f t="shared" si="36"/>
        <v>624.29999999999995</v>
      </c>
      <c r="O786" s="17">
        <v>463.6</v>
      </c>
      <c r="P786" s="17">
        <v>602.20000000000005</v>
      </c>
      <c r="Q786" s="17">
        <v>353.4</v>
      </c>
      <c r="R786" s="17">
        <f t="shared" si="37"/>
        <v>270.89999999999998</v>
      </c>
      <c r="S786" s="17">
        <v>265.5</v>
      </c>
      <c r="T786" s="17">
        <f t="shared" si="38"/>
        <v>198.10000000000002</v>
      </c>
    </row>
    <row r="787" spans="1:20" x14ac:dyDescent="0.35">
      <c r="A787" s="14" t="s">
        <v>101</v>
      </c>
      <c r="B787" s="15" t="s">
        <v>102</v>
      </c>
      <c r="C787" s="15" t="s">
        <v>93</v>
      </c>
      <c r="D787" s="15" t="s">
        <v>98</v>
      </c>
      <c r="E787" s="15" t="s">
        <v>89</v>
      </c>
      <c r="F787" s="15" t="s">
        <v>67</v>
      </c>
      <c r="G787" s="15" t="s">
        <v>68</v>
      </c>
      <c r="H787" s="15" t="s">
        <v>69</v>
      </c>
      <c r="I787" s="16">
        <v>568580</v>
      </c>
      <c r="J787" s="16">
        <v>519186</v>
      </c>
      <c r="K787" s="16">
        <v>556999</v>
      </c>
      <c r="L787" s="17">
        <v>2492.9</v>
      </c>
      <c r="M787" s="17">
        <v>173.3</v>
      </c>
      <c r="N787" s="17">
        <f t="shared" si="36"/>
        <v>2319.6</v>
      </c>
      <c r="O787" s="17">
        <v>2030.2</v>
      </c>
      <c r="P787" s="17">
        <v>2221.9</v>
      </c>
      <c r="Q787" s="17">
        <v>1254.5999999999999</v>
      </c>
      <c r="R787" s="17">
        <f t="shared" si="37"/>
        <v>1065</v>
      </c>
      <c r="S787" s="17">
        <v>1123.2</v>
      </c>
      <c r="T787" s="17">
        <f t="shared" si="38"/>
        <v>907</v>
      </c>
    </row>
    <row r="788" spans="1:20" x14ac:dyDescent="0.35">
      <c r="A788" s="14" t="s">
        <v>101</v>
      </c>
      <c r="B788" s="15" t="s">
        <v>102</v>
      </c>
      <c r="C788" s="15" t="s">
        <v>93</v>
      </c>
      <c r="D788" s="15" t="s">
        <v>98</v>
      </c>
      <c r="E788" s="15" t="s">
        <v>89</v>
      </c>
      <c r="F788" s="15" t="s">
        <v>67</v>
      </c>
      <c r="G788" s="15" t="s">
        <v>68</v>
      </c>
      <c r="H788" s="15" t="s">
        <v>70</v>
      </c>
      <c r="I788" s="16">
        <v>345489</v>
      </c>
      <c r="J788" s="16">
        <v>310652</v>
      </c>
      <c r="K788" s="16">
        <v>335894</v>
      </c>
      <c r="L788" s="17">
        <v>1737.6</v>
      </c>
      <c r="M788" s="17">
        <v>110.3</v>
      </c>
      <c r="N788" s="17">
        <f t="shared" si="36"/>
        <v>1627.3</v>
      </c>
      <c r="O788" s="17">
        <v>1385.5</v>
      </c>
      <c r="P788" s="17">
        <v>1561.4</v>
      </c>
      <c r="Q788" s="17">
        <v>936.1</v>
      </c>
      <c r="R788" s="17">
        <f t="shared" si="37"/>
        <v>691.19999999999993</v>
      </c>
      <c r="S788" s="17">
        <v>805.8</v>
      </c>
      <c r="T788" s="17">
        <f t="shared" si="38"/>
        <v>579.70000000000005</v>
      </c>
    </row>
    <row r="789" spans="1:20" x14ac:dyDescent="0.35">
      <c r="A789" s="14" t="s">
        <v>101</v>
      </c>
      <c r="B789" s="15" t="s">
        <v>102</v>
      </c>
      <c r="C789" s="15" t="s">
        <v>93</v>
      </c>
      <c r="D789" s="15" t="s">
        <v>98</v>
      </c>
      <c r="E789" s="15" t="s">
        <v>89</v>
      </c>
      <c r="F789" s="15" t="s">
        <v>67</v>
      </c>
      <c r="G789" s="15" t="s">
        <v>68</v>
      </c>
      <c r="H789" s="15" t="s">
        <v>71</v>
      </c>
      <c r="I789" s="16">
        <v>329942</v>
      </c>
      <c r="J789" s="16">
        <v>297665</v>
      </c>
      <c r="K789" s="16">
        <v>323165</v>
      </c>
      <c r="L789" s="17">
        <v>2100.5</v>
      </c>
      <c r="M789" s="17">
        <v>132.19999999999999</v>
      </c>
      <c r="N789" s="17">
        <f t="shared" si="36"/>
        <v>1968.3</v>
      </c>
      <c r="O789" s="17">
        <v>1678.2</v>
      </c>
      <c r="P789" s="17">
        <v>1887.4</v>
      </c>
      <c r="Q789" s="17">
        <v>1233.9000000000001</v>
      </c>
      <c r="R789" s="17">
        <f t="shared" si="37"/>
        <v>734.39999999999986</v>
      </c>
      <c r="S789" s="17">
        <v>1062.5999999999999</v>
      </c>
      <c r="T789" s="17">
        <f t="shared" si="38"/>
        <v>615.60000000000014</v>
      </c>
    </row>
    <row r="790" spans="1:20" x14ac:dyDescent="0.35">
      <c r="A790" s="14" t="s">
        <v>101</v>
      </c>
      <c r="B790" s="15" t="s">
        <v>102</v>
      </c>
      <c r="C790" s="15" t="s">
        <v>93</v>
      </c>
      <c r="D790" s="15" t="s">
        <v>98</v>
      </c>
      <c r="E790" s="15" t="s">
        <v>89</v>
      </c>
      <c r="F790" s="15" t="s">
        <v>67</v>
      </c>
      <c r="G790" s="15" t="s">
        <v>68</v>
      </c>
      <c r="H790" s="15" t="s">
        <v>72</v>
      </c>
      <c r="I790" s="16">
        <v>66796</v>
      </c>
      <c r="J790" s="16">
        <v>59330</v>
      </c>
      <c r="K790" s="16">
        <v>65121</v>
      </c>
      <c r="L790" s="17">
        <v>585.4</v>
      </c>
      <c r="M790" s="17">
        <v>38.299999999999997</v>
      </c>
      <c r="N790" s="17">
        <f t="shared" si="36"/>
        <v>547.1</v>
      </c>
      <c r="O790" s="17">
        <v>462.6</v>
      </c>
      <c r="P790" s="17">
        <v>527.6</v>
      </c>
      <c r="Q790" s="17">
        <v>342.6</v>
      </c>
      <c r="R790" s="17">
        <f t="shared" si="37"/>
        <v>204.5</v>
      </c>
      <c r="S790" s="17">
        <v>292.60000000000002</v>
      </c>
      <c r="T790" s="17">
        <f t="shared" si="38"/>
        <v>170</v>
      </c>
    </row>
    <row r="791" spans="1:20" x14ac:dyDescent="0.35">
      <c r="A791" s="14" t="s">
        <v>101</v>
      </c>
      <c r="B791" s="15" t="s">
        <v>102</v>
      </c>
      <c r="C791" s="15" t="s">
        <v>93</v>
      </c>
      <c r="D791" s="15" t="s">
        <v>98</v>
      </c>
      <c r="E791" s="15" t="s">
        <v>89</v>
      </c>
      <c r="F791" s="15" t="s">
        <v>67</v>
      </c>
      <c r="G791" s="15" t="s">
        <v>73</v>
      </c>
      <c r="H791" s="15" t="s">
        <v>71</v>
      </c>
      <c r="I791" s="16">
        <v>79861</v>
      </c>
      <c r="J791" s="16">
        <v>66871</v>
      </c>
      <c r="K791" s="16">
        <v>77855</v>
      </c>
      <c r="L791" s="17">
        <v>512</v>
      </c>
      <c r="M791" s="17">
        <v>34.1</v>
      </c>
      <c r="N791" s="17">
        <f t="shared" si="36"/>
        <v>477.9</v>
      </c>
      <c r="O791" s="17">
        <v>383.1</v>
      </c>
      <c r="P791" s="17">
        <v>460.3</v>
      </c>
      <c r="Q791" s="17">
        <v>302.10000000000002</v>
      </c>
      <c r="R791" s="17">
        <f t="shared" si="37"/>
        <v>175.79999999999995</v>
      </c>
      <c r="S791" s="17">
        <v>245.8</v>
      </c>
      <c r="T791" s="17">
        <f t="shared" si="38"/>
        <v>137.30000000000001</v>
      </c>
    </row>
    <row r="792" spans="1:20" x14ac:dyDescent="0.35">
      <c r="A792" s="14" t="s">
        <v>101</v>
      </c>
      <c r="B792" s="15" t="s">
        <v>102</v>
      </c>
      <c r="C792" s="15" t="s">
        <v>93</v>
      </c>
      <c r="D792" s="15" t="s">
        <v>98</v>
      </c>
      <c r="E792" s="15" t="s">
        <v>89</v>
      </c>
      <c r="F792" s="15" t="s">
        <v>67</v>
      </c>
      <c r="G792" s="15" t="s">
        <v>73</v>
      </c>
      <c r="H792" s="15" t="s">
        <v>72</v>
      </c>
      <c r="I792" s="16">
        <v>25039</v>
      </c>
      <c r="J792" s="16">
        <v>20571</v>
      </c>
      <c r="K792" s="16">
        <v>24331</v>
      </c>
      <c r="L792" s="17">
        <v>229.1</v>
      </c>
      <c r="M792" s="17">
        <v>18.3</v>
      </c>
      <c r="N792" s="17">
        <f t="shared" si="36"/>
        <v>210.79999999999998</v>
      </c>
      <c r="O792" s="17">
        <v>163.69999999999999</v>
      </c>
      <c r="P792" s="17">
        <v>204.3</v>
      </c>
      <c r="Q792" s="17">
        <v>135.5</v>
      </c>
      <c r="R792" s="17">
        <f t="shared" si="37"/>
        <v>75.299999999999983</v>
      </c>
      <c r="S792" s="17">
        <v>107.5</v>
      </c>
      <c r="T792" s="17">
        <f t="shared" si="38"/>
        <v>56.199999999999989</v>
      </c>
    </row>
    <row r="793" spans="1:20" x14ac:dyDescent="0.35">
      <c r="A793" s="14" t="s">
        <v>101</v>
      </c>
      <c r="B793" s="15" t="s">
        <v>102</v>
      </c>
      <c r="C793" s="15" t="s">
        <v>93</v>
      </c>
      <c r="D793" s="15" t="s">
        <v>98</v>
      </c>
      <c r="E793" s="15" t="s">
        <v>89</v>
      </c>
      <c r="F793" s="15" t="s">
        <v>67</v>
      </c>
      <c r="G793" s="15" t="s">
        <v>74</v>
      </c>
      <c r="H793" s="15" t="s">
        <v>70</v>
      </c>
      <c r="I793" s="16">
        <v>154809</v>
      </c>
      <c r="J793" s="16">
        <v>136047</v>
      </c>
      <c r="K793" s="16">
        <v>149467</v>
      </c>
      <c r="L793" s="17">
        <v>781.9</v>
      </c>
      <c r="M793" s="17">
        <v>54.2</v>
      </c>
      <c r="N793" s="17">
        <f t="shared" si="36"/>
        <v>727.69999999999993</v>
      </c>
      <c r="O793" s="17">
        <v>609.1</v>
      </c>
      <c r="P793" s="17">
        <v>707.6</v>
      </c>
      <c r="Q793" s="17">
        <v>422.5</v>
      </c>
      <c r="R793" s="17">
        <f t="shared" si="37"/>
        <v>305.19999999999993</v>
      </c>
      <c r="S793" s="17">
        <v>359.1</v>
      </c>
      <c r="T793" s="17">
        <f t="shared" si="38"/>
        <v>250</v>
      </c>
    </row>
    <row r="794" spans="1:20" x14ac:dyDescent="0.35">
      <c r="A794" s="14" t="s">
        <v>101</v>
      </c>
      <c r="B794" s="15" t="s">
        <v>102</v>
      </c>
      <c r="C794" s="15" t="s">
        <v>93</v>
      </c>
      <c r="D794" s="15" t="s">
        <v>98</v>
      </c>
      <c r="E794" s="15" t="s">
        <v>89</v>
      </c>
      <c r="F794" s="15" t="s">
        <v>67</v>
      </c>
      <c r="G794" s="15" t="s">
        <v>74</v>
      </c>
      <c r="H794" s="15" t="s">
        <v>71</v>
      </c>
      <c r="I794" s="16">
        <v>131668</v>
      </c>
      <c r="J794" s="16">
        <v>119597</v>
      </c>
      <c r="K794" s="16">
        <v>128561</v>
      </c>
      <c r="L794" s="17">
        <v>818.6</v>
      </c>
      <c r="M794" s="17">
        <v>49.1</v>
      </c>
      <c r="N794" s="17">
        <f t="shared" si="36"/>
        <v>769.5</v>
      </c>
      <c r="O794" s="17">
        <v>662.6</v>
      </c>
      <c r="P794" s="17">
        <v>749.9</v>
      </c>
      <c r="Q794" s="17">
        <v>466.1</v>
      </c>
      <c r="R794" s="17">
        <f t="shared" si="37"/>
        <v>303.39999999999998</v>
      </c>
      <c r="S794" s="17">
        <v>410.1</v>
      </c>
      <c r="T794" s="17">
        <f t="shared" si="38"/>
        <v>252.5</v>
      </c>
    </row>
    <row r="795" spans="1:20" x14ac:dyDescent="0.35">
      <c r="A795" s="14" t="s">
        <v>101</v>
      </c>
      <c r="B795" s="15" t="s">
        <v>102</v>
      </c>
      <c r="C795" s="15" t="s">
        <v>93</v>
      </c>
      <c r="D795" s="15" t="s">
        <v>98</v>
      </c>
      <c r="E795" s="15" t="s">
        <v>89</v>
      </c>
      <c r="F795" s="15" t="s">
        <v>67</v>
      </c>
      <c r="G795" s="15" t="s">
        <v>75</v>
      </c>
      <c r="H795" s="15" t="s">
        <v>71</v>
      </c>
      <c r="I795" s="16">
        <v>99653</v>
      </c>
      <c r="J795" s="16">
        <v>89027</v>
      </c>
      <c r="K795" s="16">
        <v>97449</v>
      </c>
      <c r="L795" s="17">
        <v>619.29999999999995</v>
      </c>
      <c r="M795" s="17">
        <v>45.5</v>
      </c>
      <c r="N795" s="17">
        <f t="shared" si="36"/>
        <v>573.79999999999995</v>
      </c>
      <c r="O795" s="17">
        <v>485.5</v>
      </c>
      <c r="P795" s="17">
        <v>558.29999999999995</v>
      </c>
      <c r="Q795" s="17">
        <v>357.6</v>
      </c>
      <c r="R795" s="17">
        <f t="shared" si="37"/>
        <v>216.19999999999993</v>
      </c>
      <c r="S795" s="17">
        <v>306.10000000000002</v>
      </c>
      <c r="T795" s="17">
        <f t="shared" si="38"/>
        <v>179.39999999999998</v>
      </c>
    </row>
    <row r="796" spans="1:20" x14ac:dyDescent="0.35">
      <c r="A796" s="14" t="s">
        <v>101</v>
      </c>
      <c r="B796" s="15" t="s">
        <v>102</v>
      </c>
      <c r="C796" s="15" t="s">
        <v>93</v>
      </c>
      <c r="D796" s="15" t="s">
        <v>98</v>
      </c>
      <c r="E796" s="15" t="s">
        <v>89</v>
      </c>
      <c r="F796" s="15" t="s">
        <v>67</v>
      </c>
      <c r="G796" s="15" t="s">
        <v>76</v>
      </c>
      <c r="H796" s="15" t="s">
        <v>72</v>
      </c>
      <c r="I796" s="16">
        <v>16128</v>
      </c>
      <c r="J796" s="16">
        <v>14088</v>
      </c>
      <c r="K796" s="16">
        <v>15651</v>
      </c>
      <c r="L796" s="17">
        <v>168.9</v>
      </c>
      <c r="M796" s="17">
        <v>10.8</v>
      </c>
      <c r="N796" s="17">
        <f t="shared" si="36"/>
        <v>158.1</v>
      </c>
      <c r="O796" s="17">
        <v>131.80000000000001</v>
      </c>
      <c r="P796" s="17">
        <v>152.4</v>
      </c>
      <c r="Q796" s="17">
        <v>97.2</v>
      </c>
      <c r="R796" s="17">
        <f t="shared" si="37"/>
        <v>60.899999999999991</v>
      </c>
      <c r="S796" s="17">
        <v>81.900000000000006</v>
      </c>
      <c r="T796" s="17">
        <f t="shared" si="38"/>
        <v>49.900000000000006</v>
      </c>
    </row>
    <row r="797" spans="1:20" x14ac:dyDescent="0.35">
      <c r="A797" s="14" t="s">
        <v>101</v>
      </c>
      <c r="B797" s="15" t="s">
        <v>102</v>
      </c>
      <c r="C797" s="15" t="s">
        <v>93</v>
      </c>
      <c r="D797" s="15" t="s">
        <v>98</v>
      </c>
      <c r="E797" s="15" t="s">
        <v>89</v>
      </c>
      <c r="F797" s="15" t="s">
        <v>79</v>
      </c>
      <c r="G797" s="15" t="s">
        <v>95</v>
      </c>
      <c r="H797" s="15" t="s">
        <v>71</v>
      </c>
      <c r="I797" s="16">
        <v>101097</v>
      </c>
      <c r="J797" s="16">
        <v>90167</v>
      </c>
      <c r="K797" s="16">
        <v>98822</v>
      </c>
      <c r="L797" s="17">
        <v>385.8</v>
      </c>
      <c r="M797" s="17">
        <v>28.6</v>
      </c>
      <c r="N797" s="17">
        <f t="shared" si="36"/>
        <v>357.2</v>
      </c>
      <c r="O797" s="17">
        <v>305.60000000000002</v>
      </c>
      <c r="P797" s="17">
        <v>347.4</v>
      </c>
      <c r="Q797" s="17">
        <v>210.6</v>
      </c>
      <c r="R797" s="17">
        <f t="shared" si="37"/>
        <v>146.6</v>
      </c>
      <c r="S797" s="17">
        <v>183.6</v>
      </c>
      <c r="T797" s="17">
        <f t="shared" si="38"/>
        <v>122.00000000000003</v>
      </c>
    </row>
    <row r="798" spans="1:20" x14ac:dyDescent="0.35">
      <c r="A798" s="14" t="s">
        <v>101</v>
      </c>
      <c r="B798" s="15" t="s">
        <v>102</v>
      </c>
      <c r="C798" s="15" t="s">
        <v>93</v>
      </c>
      <c r="D798" s="15" t="s">
        <v>98</v>
      </c>
      <c r="E798" s="15" t="s">
        <v>89</v>
      </c>
      <c r="F798" s="15" t="s">
        <v>81</v>
      </c>
      <c r="G798" s="15" t="s">
        <v>82</v>
      </c>
      <c r="H798" s="15" t="s">
        <v>71</v>
      </c>
      <c r="I798" s="16">
        <v>35906</v>
      </c>
      <c r="J798" s="16">
        <v>31499</v>
      </c>
      <c r="K798" s="16">
        <v>35071</v>
      </c>
      <c r="L798" s="17">
        <v>314.5</v>
      </c>
      <c r="M798" s="17">
        <v>24.7</v>
      </c>
      <c r="N798" s="17">
        <f t="shared" si="36"/>
        <v>289.8</v>
      </c>
      <c r="O798" s="17">
        <v>241.4</v>
      </c>
      <c r="P798" s="17">
        <v>278.8</v>
      </c>
      <c r="Q798" s="17">
        <v>180.2</v>
      </c>
      <c r="R798" s="17">
        <f t="shared" si="37"/>
        <v>109.60000000000002</v>
      </c>
      <c r="S798" s="17">
        <v>151.80000000000001</v>
      </c>
      <c r="T798" s="17">
        <f t="shared" si="38"/>
        <v>89.6</v>
      </c>
    </row>
    <row r="799" spans="1:20" x14ac:dyDescent="0.35">
      <c r="A799" s="14" t="s">
        <v>101</v>
      </c>
      <c r="B799" s="15" t="s">
        <v>102</v>
      </c>
      <c r="C799" s="15" t="s">
        <v>93</v>
      </c>
      <c r="D799" s="15" t="s">
        <v>98</v>
      </c>
      <c r="E799" s="15" t="s">
        <v>89</v>
      </c>
      <c r="F799" s="15" t="s">
        <v>83</v>
      </c>
      <c r="G799" s="15" t="s">
        <v>84</v>
      </c>
      <c r="H799" s="15" t="s">
        <v>72</v>
      </c>
      <c r="I799" s="16">
        <v>13619</v>
      </c>
      <c r="J799" s="16">
        <v>10716</v>
      </c>
      <c r="K799" s="16">
        <v>13217</v>
      </c>
      <c r="L799" s="17">
        <v>371.8</v>
      </c>
      <c r="M799" s="17">
        <v>29.2</v>
      </c>
      <c r="N799" s="17">
        <f t="shared" si="36"/>
        <v>342.6</v>
      </c>
      <c r="O799" s="17">
        <v>258.10000000000002</v>
      </c>
      <c r="P799" s="17">
        <v>331.6</v>
      </c>
      <c r="Q799" s="17">
        <v>199.5</v>
      </c>
      <c r="R799" s="17">
        <f t="shared" si="37"/>
        <v>143.10000000000002</v>
      </c>
      <c r="S799" s="17">
        <v>154.1</v>
      </c>
      <c r="T799" s="17">
        <f t="shared" si="38"/>
        <v>104.00000000000003</v>
      </c>
    </row>
    <row r="800" spans="1:20" x14ac:dyDescent="0.35">
      <c r="A800" s="14" t="s">
        <v>101</v>
      </c>
      <c r="B800" s="15" t="s">
        <v>102</v>
      </c>
      <c r="C800" s="15" t="s">
        <v>93</v>
      </c>
      <c r="D800" s="15" t="s">
        <v>98</v>
      </c>
      <c r="E800" s="15" t="s">
        <v>90</v>
      </c>
      <c r="F800" s="15" t="s">
        <v>67</v>
      </c>
      <c r="G800" s="15" t="s">
        <v>68</v>
      </c>
      <c r="H800" s="15" t="s">
        <v>69</v>
      </c>
      <c r="I800" s="16">
        <v>171876</v>
      </c>
      <c r="J800" s="16">
        <v>158069</v>
      </c>
      <c r="K800" s="16">
        <v>168330</v>
      </c>
      <c r="L800" s="17">
        <v>688.3</v>
      </c>
      <c r="M800" s="17">
        <v>73.400000000000006</v>
      </c>
      <c r="N800" s="17">
        <f t="shared" si="36"/>
        <v>614.9</v>
      </c>
      <c r="O800" s="17">
        <v>542.6</v>
      </c>
      <c r="P800" s="17">
        <v>591</v>
      </c>
      <c r="Q800" s="17">
        <v>330.4</v>
      </c>
      <c r="R800" s="17">
        <f t="shared" si="37"/>
        <v>284.5</v>
      </c>
      <c r="S800" s="17">
        <v>298.5</v>
      </c>
      <c r="T800" s="17">
        <f t="shared" si="38"/>
        <v>244.10000000000002</v>
      </c>
    </row>
    <row r="801" spans="1:20" x14ac:dyDescent="0.35">
      <c r="A801" s="14" t="s">
        <v>101</v>
      </c>
      <c r="B801" s="15" t="s">
        <v>102</v>
      </c>
      <c r="C801" s="15" t="s">
        <v>93</v>
      </c>
      <c r="D801" s="15" t="s">
        <v>98</v>
      </c>
      <c r="E801" s="15" t="s">
        <v>90</v>
      </c>
      <c r="F801" s="15" t="s">
        <v>67</v>
      </c>
      <c r="G801" s="15" t="s">
        <v>68</v>
      </c>
      <c r="H801" s="15" t="s">
        <v>70</v>
      </c>
      <c r="I801" s="16">
        <v>131151</v>
      </c>
      <c r="J801" s="16">
        <v>117953</v>
      </c>
      <c r="K801" s="16">
        <v>128398</v>
      </c>
      <c r="L801" s="17">
        <v>641.70000000000005</v>
      </c>
      <c r="M801" s="17">
        <v>75.8</v>
      </c>
      <c r="N801" s="17">
        <f t="shared" si="36"/>
        <v>565.90000000000009</v>
      </c>
      <c r="O801" s="17">
        <v>487.5</v>
      </c>
      <c r="P801" s="17">
        <v>544.9</v>
      </c>
      <c r="Q801" s="17">
        <v>327.60000000000002</v>
      </c>
      <c r="R801" s="17">
        <f t="shared" si="37"/>
        <v>238.30000000000007</v>
      </c>
      <c r="S801" s="17">
        <v>284.60000000000002</v>
      </c>
      <c r="T801" s="17">
        <f t="shared" si="38"/>
        <v>202.89999999999998</v>
      </c>
    </row>
    <row r="802" spans="1:20" x14ac:dyDescent="0.35">
      <c r="A802" s="14" t="s">
        <v>101</v>
      </c>
      <c r="B802" s="15" t="s">
        <v>102</v>
      </c>
      <c r="C802" s="15" t="s">
        <v>93</v>
      </c>
      <c r="D802" s="15" t="s">
        <v>98</v>
      </c>
      <c r="E802" s="15" t="s">
        <v>90</v>
      </c>
      <c r="F802" s="15" t="s">
        <v>67</v>
      </c>
      <c r="G802" s="15" t="s">
        <v>68</v>
      </c>
      <c r="H802" s="15" t="s">
        <v>71</v>
      </c>
      <c r="I802" s="16">
        <v>178609</v>
      </c>
      <c r="J802" s="16">
        <v>161811</v>
      </c>
      <c r="K802" s="16">
        <v>174773</v>
      </c>
      <c r="L802" s="17">
        <v>1069.4000000000001</v>
      </c>
      <c r="M802" s="17">
        <v>112.4</v>
      </c>
      <c r="N802" s="17">
        <f t="shared" si="36"/>
        <v>957.00000000000011</v>
      </c>
      <c r="O802" s="17">
        <v>828.4</v>
      </c>
      <c r="P802" s="17">
        <v>919.2</v>
      </c>
      <c r="Q802" s="17">
        <v>603.9</v>
      </c>
      <c r="R802" s="17">
        <f t="shared" si="37"/>
        <v>353.10000000000014</v>
      </c>
      <c r="S802" s="17">
        <v>529.20000000000005</v>
      </c>
      <c r="T802" s="17">
        <f t="shared" si="38"/>
        <v>299.19999999999993</v>
      </c>
    </row>
    <row r="803" spans="1:20" x14ac:dyDescent="0.35">
      <c r="A803" s="14" t="s">
        <v>101</v>
      </c>
      <c r="B803" s="15" t="s">
        <v>102</v>
      </c>
      <c r="C803" s="15" t="s">
        <v>93</v>
      </c>
      <c r="D803" s="15" t="s">
        <v>98</v>
      </c>
      <c r="E803" s="15" t="s">
        <v>90</v>
      </c>
      <c r="F803" s="15" t="s">
        <v>67</v>
      </c>
      <c r="G803" s="15" t="s">
        <v>68</v>
      </c>
      <c r="H803" s="15" t="s">
        <v>72</v>
      </c>
      <c r="I803" s="16">
        <v>55774</v>
      </c>
      <c r="J803" s="16">
        <v>50220</v>
      </c>
      <c r="K803" s="16">
        <v>54272</v>
      </c>
      <c r="L803" s="17">
        <v>439.3</v>
      </c>
      <c r="M803" s="17">
        <v>47.3</v>
      </c>
      <c r="N803" s="17">
        <f t="shared" si="36"/>
        <v>392</v>
      </c>
      <c r="O803" s="17">
        <v>336.9</v>
      </c>
      <c r="P803" s="17">
        <v>381.7</v>
      </c>
      <c r="Q803" s="17">
        <v>249.5</v>
      </c>
      <c r="R803" s="17">
        <f t="shared" si="37"/>
        <v>142.5</v>
      </c>
      <c r="S803" s="17">
        <v>216.2</v>
      </c>
      <c r="T803" s="17">
        <f t="shared" si="38"/>
        <v>120.69999999999999</v>
      </c>
    </row>
    <row r="804" spans="1:20" x14ac:dyDescent="0.35">
      <c r="A804" s="14" t="s">
        <v>101</v>
      </c>
      <c r="B804" s="15" t="s">
        <v>102</v>
      </c>
      <c r="C804" s="15" t="s">
        <v>93</v>
      </c>
      <c r="D804" s="15" t="s">
        <v>98</v>
      </c>
      <c r="E804" s="15" t="s">
        <v>90</v>
      </c>
      <c r="F804" s="15" t="s">
        <v>67</v>
      </c>
      <c r="G804" s="15" t="s">
        <v>73</v>
      </c>
      <c r="H804" s="15" t="s">
        <v>71</v>
      </c>
      <c r="I804" s="16">
        <v>50078</v>
      </c>
      <c r="J804" s="16">
        <v>41714</v>
      </c>
      <c r="K804" s="16">
        <v>48370</v>
      </c>
      <c r="L804" s="17">
        <v>295.7</v>
      </c>
      <c r="M804" s="17">
        <v>33.799999999999997</v>
      </c>
      <c r="N804" s="17">
        <f t="shared" si="36"/>
        <v>261.89999999999998</v>
      </c>
      <c r="O804" s="17">
        <v>206.7</v>
      </c>
      <c r="P804" s="17">
        <v>254.4</v>
      </c>
      <c r="Q804" s="17">
        <v>160.4</v>
      </c>
      <c r="R804" s="17">
        <f t="shared" si="37"/>
        <v>101.49999999999997</v>
      </c>
      <c r="S804" s="17">
        <v>128.1</v>
      </c>
      <c r="T804" s="17">
        <f t="shared" si="38"/>
        <v>78.599999999999994</v>
      </c>
    </row>
    <row r="805" spans="1:20" x14ac:dyDescent="0.35">
      <c r="A805" s="14" t="s">
        <v>101</v>
      </c>
      <c r="B805" s="15" t="s">
        <v>102</v>
      </c>
      <c r="C805" s="15" t="s">
        <v>93</v>
      </c>
      <c r="D805" s="15" t="s">
        <v>98</v>
      </c>
      <c r="E805" s="15" t="s">
        <v>90</v>
      </c>
      <c r="F805" s="15" t="s">
        <v>67</v>
      </c>
      <c r="G805" s="15" t="s">
        <v>73</v>
      </c>
      <c r="H805" s="15" t="s">
        <v>72</v>
      </c>
      <c r="I805" s="16">
        <v>16014</v>
      </c>
      <c r="J805" s="16">
        <v>13135</v>
      </c>
      <c r="K805" s="16">
        <v>15477</v>
      </c>
      <c r="L805" s="17">
        <v>126.7</v>
      </c>
      <c r="M805" s="17">
        <v>14.8</v>
      </c>
      <c r="N805" s="17">
        <f t="shared" si="36"/>
        <v>111.9</v>
      </c>
      <c r="O805" s="17">
        <v>87.6</v>
      </c>
      <c r="P805" s="17">
        <v>108.7</v>
      </c>
      <c r="Q805" s="17">
        <v>73</v>
      </c>
      <c r="R805" s="17">
        <f t="shared" si="37"/>
        <v>38.900000000000006</v>
      </c>
      <c r="S805" s="17">
        <v>57.8</v>
      </c>
      <c r="T805" s="17">
        <f t="shared" si="38"/>
        <v>29.799999999999997</v>
      </c>
    </row>
    <row r="806" spans="1:20" x14ac:dyDescent="0.35">
      <c r="A806" s="14" t="s">
        <v>101</v>
      </c>
      <c r="B806" s="15" t="s">
        <v>102</v>
      </c>
      <c r="C806" s="15" t="s">
        <v>93</v>
      </c>
      <c r="D806" s="15" t="s">
        <v>98</v>
      </c>
      <c r="E806" s="15" t="s">
        <v>90</v>
      </c>
      <c r="F806" s="15" t="s">
        <v>67</v>
      </c>
      <c r="G806" s="15" t="s">
        <v>74</v>
      </c>
      <c r="H806" s="15" t="s">
        <v>70</v>
      </c>
      <c r="I806" s="16">
        <v>58108</v>
      </c>
      <c r="J806" s="16">
        <v>52329</v>
      </c>
      <c r="K806" s="16">
        <v>56899</v>
      </c>
      <c r="L806" s="17">
        <v>261.7</v>
      </c>
      <c r="M806" s="17">
        <v>26.8</v>
      </c>
      <c r="N806" s="17">
        <f t="shared" si="36"/>
        <v>234.89999999999998</v>
      </c>
      <c r="O806" s="17">
        <v>200.5</v>
      </c>
      <c r="P806" s="17">
        <v>226.2</v>
      </c>
      <c r="Q806" s="17">
        <v>135.30000000000001</v>
      </c>
      <c r="R806" s="17">
        <f t="shared" si="37"/>
        <v>99.599999999999966</v>
      </c>
      <c r="S806" s="17">
        <v>117.9</v>
      </c>
      <c r="T806" s="17">
        <f t="shared" si="38"/>
        <v>82.6</v>
      </c>
    </row>
    <row r="807" spans="1:20" x14ac:dyDescent="0.35">
      <c r="A807" s="14" t="s">
        <v>101</v>
      </c>
      <c r="B807" s="15" t="s">
        <v>102</v>
      </c>
      <c r="C807" s="15" t="s">
        <v>93</v>
      </c>
      <c r="D807" s="15" t="s">
        <v>98</v>
      </c>
      <c r="E807" s="15" t="s">
        <v>90</v>
      </c>
      <c r="F807" s="15" t="s">
        <v>67</v>
      </c>
      <c r="G807" s="15" t="s">
        <v>74</v>
      </c>
      <c r="H807" s="15" t="s">
        <v>71</v>
      </c>
      <c r="I807" s="16">
        <v>72552</v>
      </c>
      <c r="J807" s="16">
        <v>65118</v>
      </c>
      <c r="K807" s="16">
        <v>70134</v>
      </c>
      <c r="L807" s="17">
        <v>424</v>
      </c>
      <c r="M807" s="17">
        <v>45.9</v>
      </c>
      <c r="N807" s="17">
        <f t="shared" si="36"/>
        <v>378.1</v>
      </c>
      <c r="O807" s="17">
        <v>320.5</v>
      </c>
      <c r="P807" s="17">
        <v>361.6</v>
      </c>
      <c r="Q807" s="17">
        <v>236.6</v>
      </c>
      <c r="R807" s="17">
        <f t="shared" si="37"/>
        <v>141.50000000000003</v>
      </c>
      <c r="S807" s="17">
        <v>203.6</v>
      </c>
      <c r="T807" s="17">
        <f t="shared" si="38"/>
        <v>116.9</v>
      </c>
    </row>
    <row r="808" spans="1:20" x14ac:dyDescent="0.35">
      <c r="A808" s="14" t="s">
        <v>101</v>
      </c>
      <c r="B808" s="15" t="s">
        <v>102</v>
      </c>
      <c r="C808" s="15" t="s">
        <v>93</v>
      </c>
      <c r="D808" s="15" t="s">
        <v>98</v>
      </c>
      <c r="E808" s="15" t="s">
        <v>90</v>
      </c>
      <c r="F808" s="15" t="s">
        <v>67</v>
      </c>
      <c r="G808" s="15" t="s">
        <v>75</v>
      </c>
      <c r="H808" s="15" t="s">
        <v>71</v>
      </c>
      <c r="I808" s="16">
        <v>54747</v>
      </c>
      <c r="J808" s="16">
        <v>49845</v>
      </c>
      <c r="K808" s="16">
        <v>53343</v>
      </c>
      <c r="L808" s="17">
        <v>309.8</v>
      </c>
      <c r="M808" s="17">
        <v>34.4</v>
      </c>
      <c r="N808" s="17">
        <f t="shared" si="36"/>
        <v>275.40000000000003</v>
      </c>
      <c r="O808" s="17">
        <v>237.3</v>
      </c>
      <c r="P808" s="17">
        <v>265.60000000000002</v>
      </c>
      <c r="Q808" s="17">
        <v>173.7</v>
      </c>
      <c r="R808" s="17">
        <f t="shared" si="37"/>
        <v>101.70000000000005</v>
      </c>
      <c r="S808" s="17">
        <v>152.4</v>
      </c>
      <c r="T808" s="17">
        <f t="shared" si="38"/>
        <v>84.9</v>
      </c>
    </row>
    <row r="809" spans="1:20" x14ac:dyDescent="0.35">
      <c r="A809" s="14" t="s">
        <v>101</v>
      </c>
      <c r="B809" s="15" t="s">
        <v>102</v>
      </c>
      <c r="C809" s="15" t="s">
        <v>93</v>
      </c>
      <c r="D809" s="15" t="s">
        <v>98</v>
      </c>
      <c r="E809" s="15" t="s">
        <v>90</v>
      </c>
      <c r="F809" s="15" t="s">
        <v>67</v>
      </c>
      <c r="G809" s="15" t="s">
        <v>76</v>
      </c>
      <c r="H809" s="15" t="s">
        <v>72</v>
      </c>
      <c r="I809" s="16">
        <v>12580</v>
      </c>
      <c r="J809" s="16">
        <v>11140</v>
      </c>
      <c r="K809" s="16">
        <v>12150</v>
      </c>
      <c r="L809" s="17">
        <v>119</v>
      </c>
      <c r="M809" s="17">
        <v>12.6</v>
      </c>
      <c r="N809" s="17">
        <f t="shared" si="36"/>
        <v>106.4</v>
      </c>
      <c r="O809" s="17">
        <v>89.9</v>
      </c>
      <c r="P809" s="17">
        <v>102.2</v>
      </c>
      <c r="Q809" s="17">
        <v>66.2</v>
      </c>
      <c r="R809" s="17">
        <f t="shared" si="37"/>
        <v>40.200000000000003</v>
      </c>
      <c r="S809" s="17">
        <v>57</v>
      </c>
      <c r="T809" s="17">
        <f t="shared" si="38"/>
        <v>32.900000000000006</v>
      </c>
    </row>
    <row r="810" spans="1:20" x14ac:dyDescent="0.35">
      <c r="A810" s="14" t="s">
        <v>101</v>
      </c>
      <c r="B810" s="15" t="s">
        <v>102</v>
      </c>
      <c r="C810" s="15" t="s">
        <v>93</v>
      </c>
      <c r="D810" s="15" t="s">
        <v>98</v>
      </c>
      <c r="E810" s="15" t="s">
        <v>90</v>
      </c>
      <c r="F810" s="15" t="s">
        <v>79</v>
      </c>
      <c r="G810" s="15" t="s">
        <v>95</v>
      </c>
      <c r="H810" s="15" t="s">
        <v>71</v>
      </c>
      <c r="I810" s="16">
        <v>53869</v>
      </c>
      <c r="J810" s="16">
        <v>47744</v>
      </c>
      <c r="K810" s="16">
        <v>52690</v>
      </c>
      <c r="L810" s="17">
        <v>193.5</v>
      </c>
      <c r="M810" s="17">
        <v>23.2</v>
      </c>
      <c r="N810" s="17">
        <f t="shared" si="36"/>
        <v>170.3</v>
      </c>
      <c r="O810" s="17">
        <v>143</v>
      </c>
      <c r="P810" s="17">
        <v>164.3</v>
      </c>
      <c r="Q810" s="17">
        <v>103.4</v>
      </c>
      <c r="R810" s="17">
        <f t="shared" si="37"/>
        <v>66.900000000000006</v>
      </c>
      <c r="S810" s="17">
        <v>88.9</v>
      </c>
      <c r="T810" s="17">
        <f t="shared" si="38"/>
        <v>54.099999999999994</v>
      </c>
    </row>
    <row r="811" spans="1:20" x14ac:dyDescent="0.35">
      <c r="A811" s="14" t="s">
        <v>101</v>
      </c>
      <c r="B811" s="15" t="s">
        <v>102</v>
      </c>
      <c r="C811" s="15" t="s">
        <v>93</v>
      </c>
      <c r="D811" s="15" t="s">
        <v>98</v>
      </c>
      <c r="E811" s="15" t="s">
        <v>90</v>
      </c>
      <c r="F811" s="15" t="s">
        <v>81</v>
      </c>
      <c r="G811" s="15" t="s">
        <v>82</v>
      </c>
      <c r="H811" s="15" t="s">
        <v>71</v>
      </c>
      <c r="I811" s="16">
        <v>18584</v>
      </c>
      <c r="J811" s="16">
        <v>16224</v>
      </c>
      <c r="K811" s="16">
        <v>18109</v>
      </c>
      <c r="L811" s="17">
        <v>140.30000000000001</v>
      </c>
      <c r="M811" s="17">
        <v>14.9</v>
      </c>
      <c r="N811" s="17">
        <f t="shared" si="36"/>
        <v>125.4</v>
      </c>
      <c r="O811" s="17">
        <v>105.2</v>
      </c>
      <c r="P811" s="17">
        <v>120.1</v>
      </c>
      <c r="Q811" s="17">
        <v>77.599999999999994</v>
      </c>
      <c r="R811" s="17">
        <f t="shared" si="37"/>
        <v>47.800000000000011</v>
      </c>
      <c r="S811" s="17">
        <v>65.599999999999994</v>
      </c>
      <c r="T811" s="17">
        <f t="shared" si="38"/>
        <v>39.600000000000009</v>
      </c>
    </row>
    <row r="812" spans="1:20" x14ac:dyDescent="0.35">
      <c r="A812" s="14" t="s">
        <v>101</v>
      </c>
      <c r="B812" s="15" t="s">
        <v>102</v>
      </c>
      <c r="C812" s="15" t="s">
        <v>93</v>
      </c>
      <c r="D812" s="15" t="s">
        <v>98</v>
      </c>
      <c r="E812" s="15" t="s">
        <v>90</v>
      </c>
      <c r="F812" s="15" t="s">
        <v>83</v>
      </c>
      <c r="G812" s="15" t="s">
        <v>84</v>
      </c>
      <c r="H812" s="15" t="s">
        <v>72</v>
      </c>
      <c r="I812" s="16">
        <v>11230</v>
      </c>
      <c r="J812" s="16">
        <v>8861</v>
      </c>
      <c r="K812" s="16">
        <v>10850</v>
      </c>
      <c r="L812" s="17">
        <v>274</v>
      </c>
      <c r="M812" s="17">
        <v>27.7</v>
      </c>
      <c r="N812" s="17">
        <f t="shared" si="36"/>
        <v>246.3</v>
      </c>
      <c r="O812" s="17">
        <v>185.7</v>
      </c>
      <c r="P812" s="17">
        <v>238.6</v>
      </c>
      <c r="Q812" s="17">
        <v>143.4</v>
      </c>
      <c r="R812" s="17">
        <f t="shared" si="37"/>
        <v>102.9</v>
      </c>
      <c r="S812" s="17">
        <v>110.2</v>
      </c>
      <c r="T812" s="17">
        <f t="shared" si="38"/>
        <v>75.499999999999986</v>
      </c>
    </row>
    <row r="813" spans="1:20" x14ac:dyDescent="0.35">
      <c r="A813" s="14" t="s">
        <v>101</v>
      </c>
      <c r="B813" s="15" t="s">
        <v>102</v>
      </c>
      <c r="C813" s="15" t="s">
        <v>93</v>
      </c>
      <c r="D813" s="15" t="s">
        <v>98</v>
      </c>
      <c r="E813" s="15" t="s">
        <v>91</v>
      </c>
      <c r="F813" s="15" t="s">
        <v>67</v>
      </c>
      <c r="G813" s="15" t="s">
        <v>68</v>
      </c>
      <c r="H813" s="15" t="s">
        <v>69</v>
      </c>
      <c r="I813" s="16">
        <v>125843</v>
      </c>
      <c r="J813" s="16">
        <v>110417</v>
      </c>
      <c r="K813" s="16">
        <v>121615</v>
      </c>
      <c r="L813" s="17">
        <v>584.5</v>
      </c>
      <c r="M813" s="17">
        <v>30.3</v>
      </c>
      <c r="N813" s="17">
        <f t="shared" si="36"/>
        <v>554.20000000000005</v>
      </c>
      <c r="O813" s="17">
        <v>460.3</v>
      </c>
      <c r="P813" s="17">
        <v>534.70000000000005</v>
      </c>
      <c r="Q813" s="17">
        <v>310</v>
      </c>
      <c r="R813" s="17">
        <f t="shared" si="37"/>
        <v>244.20000000000005</v>
      </c>
      <c r="S813" s="17">
        <v>260.5</v>
      </c>
      <c r="T813" s="17">
        <f t="shared" si="38"/>
        <v>199.8</v>
      </c>
    </row>
    <row r="814" spans="1:20" x14ac:dyDescent="0.35">
      <c r="A814" s="14" t="s">
        <v>101</v>
      </c>
      <c r="B814" s="15" t="s">
        <v>102</v>
      </c>
      <c r="C814" s="15" t="s">
        <v>93</v>
      </c>
      <c r="D814" s="15" t="s">
        <v>98</v>
      </c>
      <c r="E814" s="15" t="s">
        <v>91</v>
      </c>
      <c r="F814" s="15" t="s">
        <v>67</v>
      </c>
      <c r="G814" s="15" t="s">
        <v>68</v>
      </c>
      <c r="H814" s="15" t="s">
        <v>70</v>
      </c>
      <c r="I814" s="16">
        <v>32936</v>
      </c>
      <c r="J814" s="16">
        <v>28781</v>
      </c>
      <c r="K814" s="16">
        <v>31914</v>
      </c>
      <c r="L814" s="17">
        <v>184.3</v>
      </c>
      <c r="M814" s="17">
        <v>8.1</v>
      </c>
      <c r="N814" s="17">
        <f t="shared" si="36"/>
        <v>176.20000000000002</v>
      </c>
      <c r="O814" s="17">
        <v>147.80000000000001</v>
      </c>
      <c r="P814" s="17">
        <v>169.9</v>
      </c>
      <c r="Q814" s="17">
        <v>97.8</v>
      </c>
      <c r="R814" s="17">
        <f t="shared" si="37"/>
        <v>78.40000000000002</v>
      </c>
      <c r="S814" s="17">
        <v>83</v>
      </c>
      <c r="T814" s="17">
        <f t="shared" si="38"/>
        <v>64.800000000000011</v>
      </c>
    </row>
    <row r="815" spans="1:20" x14ac:dyDescent="0.35">
      <c r="A815" s="14" t="s">
        <v>101</v>
      </c>
      <c r="B815" s="15" t="s">
        <v>102</v>
      </c>
      <c r="C815" s="15" t="s">
        <v>93</v>
      </c>
      <c r="D815" s="15" t="s">
        <v>98</v>
      </c>
      <c r="E815" s="15" t="s">
        <v>91</v>
      </c>
      <c r="F815" s="15" t="s">
        <v>67</v>
      </c>
      <c r="G815" s="15" t="s">
        <v>68</v>
      </c>
      <c r="H815" s="15" t="s">
        <v>71</v>
      </c>
      <c r="I815" s="16">
        <v>63695</v>
      </c>
      <c r="J815" s="16">
        <v>56464</v>
      </c>
      <c r="K815" s="16">
        <v>61788</v>
      </c>
      <c r="L815" s="17">
        <v>456.3</v>
      </c>
      <c r="M815" s="17">
        <v>25.6</v>
      </c>
      <c r="N815" s="17">
        <f t="shared" si="36"/>
        <v>430.7</v>
      </c>
      <c r="O815" s="17">
        <v>363.1</v>
      </c>
      <c r="P815" s="17">
        <v>413</v>
      </c>
      <c r="Q815" s="17">
        <v>260.60000000000002</v>
      </c>
      <c r="R815" s="17">
        <f t="shared" si="37"/>
        <v>170.09999999999997</v>
      </c>
      <c r="S815" s="17">
        <v>224.8</v>
      </c>
      <c r="T815" s="17">
        <f t="shared" si="38"/>
        <v>138.30000000000001</v>
      </c>
    </row>
    <row r="816" spans="1:20" x14ac:dyDescent="0.35">
      <c r="A816" s="14" t="s">
        <v>101</v>
      </c>
      <c r="B816" s="15" t="s">
        <v>102</v>
      </c>
      <c r="C816" s="15" t="s">
        <v>93</v>
      </c>
      <c r="D816" s="15" t="s">
        <v>98</v>
      </c>
      <c r="E816" s="15" t="s">
        <v>91</v>
      </c>
      <c r="F816" s="15" t="s">
        <v>67</v>
      </c>
      <c r="G816" s="15" t="s">
        <v>68</v>
      </c>
      <c r="H816" s="15" t="s">
        <v>72</v>
      </c>
      <c r="I816" s="16">
        <v>31982</v>
      </c>
      <c r="J816" s="16">
        <v>27677</v>
      </c>
      <c r="K816" s="16">
        <v>31087</v>
      </c>
      <c r="L816" s="17">
        <v>292.89999999999998</v>
      </c>
      <c r="M816" s="17">
        <v>13</v>
      </c>
      <c r="N816" s="17">
        <f t="shared" si="36"/>
        <v>279.89999999999998</v>
      </c>
      <c r="O816" s="17">
        <v>231</v>
      </c>
      <c r="P816" s="17">
        <v>270.2</v>
      </c>
      <c r="Q816" s="17">
        <v>181</v>
      </c>
      <c r="R816" s="17">
        <f t="shared" si="37"/>
        <v>98.899999999999977</v>
      </c>
      <c r="S816" s="17">
        <v>152</v>
      </c>
      <c r="T816" s="17">
        <f t="shared" si="38"/>
        <v>79</v>
      </c>
    </row>
    <row r="817" spans="1:20" x14ac:dyDescent="0.35">
      <c r="A817" s="14" t="s">
        <v>101</v>
      </c>
      <c r="B817" s="15" t="s">
        <v>102</v>
      </c>
      <c r="C817" s="15" t="s">
        <v>93</v>
      </c>
      <c r="D817" s="15" t="s">
        <v>98</v>
      </c>
      <c r="E817" s="15" t="s">
        <v>91</v>
      </c>
      <c r="F817" s="15" t="s">
        <v>67</v>
      </c>
      <c r="G817" s="15" t="s">
        <v>73</v>
      </c>
      <c r="H817" s="15" t="s">
        <v>71</v>
      </c>
      <c r="I817" s="16">
        <v>16309</v>
      </c>
      <c r="J817" s="16">
        <v>13293</v>
      </c>
      <c r="K817" s="16">
        <v>15980</v>
      </c>
      <c r="L817" s="17">
        <v>114</v>
      </c>
      <c r="M817" s="17">
        <v>5.3</v>
      </c>
      <c r="N817" s="17">
        <f t="shared" si="36"/>
        <v>108.7</v>
      </c>
      <c r="O817" s="17">
        <v>84.1</v>
      </c>
      <c r="P817" s="17">
        <v>105.5</v>
      </c>
      <c r="Q817" s="17">
        <v>67</v>
      </c>
      <c r="R817" s="17">
        <f t="shared" si="37"/>
        <v>41.7</v>
      </c>
      <c r="S817" s="17">
        <v>53</v>
      </c>
      <c r="T817" s="17">
        <f t="shared" si="38"/>
        <v>31.099999999999994</v>
      </c>
    </row>
    <row r="818" spans="1:20" x14ac:dyDescent="0.35">
      <c r="A818" s="14" t="s">
        <v>101</v>
      </c>
      <c r="B818" s="15" t="s">
        <v>102</v>
      </c>
      <c r="C818" s="15" t="s">
        <v>93</v>
      </c>
      <c r="D818" s="15" t="s">
        <v>98</v>
      </c>
      <c r="E818" s="15" t="s">
        <v>91</v>
      </c>
      <c r="F818" s="15" t="s">
        <v>67</v>
      </c>
      <c r="G818" s="15" t="s">
        <v>73</v>
      </c>
      <c r="H818" s="15" t="s">
        <v>72</v>
      </c>
      <c r="I818" s="16">
        <v>10813</v>
      </c>
      <c r="J818" s="16">
        <v>8592</v>
      </c>
      <c r="K818" s="16">
        <v>10510</v>
      </c>
      <c r="L818" s="17">
        <v>104.3</v>
      </c>
      <c r="M818" s="17">
        <v>4.3</v>
      </c>
      <c r="N818" s="17">
        <f t="shared" si="36"/>
        <v>100</v>
      </c>
      <c r="O818" s="17">
        <v>75.099999999999994</v>
      </c>
      <c r="P818" s="17">
        <v>95.8</v>
      </c>
      <c r="Q818" s="17">
        <v>63.3</v>
      </c>
      <c r="R818" s="17">
        <f t="shared" si="37"/>
        <v>36.700000000000003</v>
      </c>
      <c r="S818" s="17">
        <v>48.3</v>
      </c>
      <c r="T818" s="17">
        <f t="shared" si="38"/>
        <v>26.799999999999997</v>
      </c>
    </row>
    <row r="819" spans="1:20" x14ac:dyDescent="0.35">
      <c r="A819" s="14" t="s">
        <v>101</v>
      </c>
      <c r="B819" s="15" t="s">
        <v>102</v>
      </c>
      <c r="C819" s="15" t="s">
        <v>93</v>
      </c>
      <c r="D819" s="15" t="s">
        <v>98</v>
      </c>
      <c r="E819" s="15" t="s">
        <v>91</v>
      </c>
      <c r="F819" s="15" t="s">
        <v>67</v>
      </c>
      <c r="G819" s="15" t="s">
        <v>74</v>
      </c>
      <c r="H819" s="15" t="s">
        <v>70</v>
      </c>
      <c r="I819" s="16">
        <v>12983</v>
      </c>
      <c r="J819" s="16">
        <v>11015</v>
      </c>
      <c r="K819" s="16">
        <v>12709</v>
      </c>
      <c r="L819" s="17">
        <v>68.5</v>
      </c>
      <c r="M819" s="17">
        <v>4</v>
      </c>
      <c r="N819" s="17">
        <f t="shared" si="36"/>
        <v>64.5</v>
      </c>
      <c r="O819" s="17">
        <v>52.5</v>
      </c>
      <c r="P819" s="17">
        <v>62.1</v>
      </c>
      <c r="Q819" s="17">
        <v>35.9</v>
      </c>
      <c r="R819" s="17">
        <f t="shared" si="37"/>
        <v>28.6</v>
      </c>
      <c r="S819" s="17">
        <v>30</v>
      </c>
      <c r="T819" s="17">
        <f t="shared" si="38"/>
        <v>22.5</v>
      </c>
    </row>
    <row r="820" spans="1:20" x14ac:dyDescent="0.35">
      <c r="A820" s="14" t="s">
        <v>101</v>
      </c>
      <c r="B820" s="15" t="s">
        <v>102</v>
      </c>
      <c r="C820" s="15" t="s">
        <v>93</v>
      </c>
      <c r="D820" s="15" t="s">
        <v>98</v>
      </c>
      <c r="E820" s="15" t="s">
        <v>91</v>
      </c>
      <c r="F820" s="15" t="s">
        <v>67</v>
      </c>
      <c r="G820" s="15" t="s">
        <v>74</v>
      </c>
      <c r="H820" s="15" t="s">
        <v>71</v>
      </c>
      <c r="I820" s="16">
        <v>25507</v>
      </c>
      <c r="J820" s="16">
        <v>22148</v>
      </c>
      <c r="K820" s="16">
        <v>24829</v>
      </c>
      <c r="L820" s="17">
        <v>170.1</v>
      </c>
      <c r="M820" s="17">
        <v>7.8</v>
      </c>
      <c r="N820" s="17">
        <f t="shared" si="36"/>
        <v>162.29999999999998</v>
      </c>
      <c r="O820" s="17">
        <v>134</v>
      </c>
      <c r="P820" s="17">
        <v>156.19999999999999</v>
      </c>
      <c r="Q820" s="17">
        <v>98.8</v>
      </c>
      <c r="R820" s="17">
        <f t="shared" si="37"/>
        <v>63.499999999999986</v>
      </c>
      <c r="S820" s="17">
        <v>82.4</v>
      </c>
      <c r="T820" s="17">
        <f t="shared" si="38"/>
        <v>51.599999999999994</v>
      </c>
    </row>
    <row r="821" spans="1:20" x14ac:dyDescent="0.35">
      <c r="A821" s="14" t="s">
        <v>101</v>
      </c>
      <c r="B821" s="15" t="s">
        <v>102</v>
      </c>
      <c r="C821" s="15" t="s">
        <v>93</v>
      </c>
      <c r="D821" s="15" t="s">
        <v>98</v>
      </c>
      <c r="E821" s="15" t="s">
        <v>91</v>
      </c>
      <c r="F821" s="15" t="s">
        <v>67</v>
      </c>
      <c r="G821" s="15" t="s">
        <v>75</v>
      </c>
      <c r="H821" s="15" t="s">
        <v>71</v>
      </c>
      <c r="I821" s="16">
        <v>17854</v>
      </c>
      <c r="J821" s="16">
        <v>15465</v>
      </c>
      <c r="K821" s="16">
        <v>17435</v>
      </c>
      <c r="L821" s="17">
        <v>123.3</v>
      </c>
      <c r="M821" s="17">
        <v>6.6</v>
      </c>
      <c r="N821" s="17">
        <f t="shared" si="36"/>
        <v>116.7</v>
      </c>
      <c r="O821" s="17">
        <v>96.7</v>
      </c>
      <c r="P821" s="17">
        <v>112.3</v>
      </c>
      <c r="Q821" s="17">
        <v>72</v>
      </c>
      <c r="R821" s="17">
        <f t="shared" si="37"/>
        <v>44.7</v>
      </c>
      <c r="S821" s="17">
        <v>60.3</v>
      </c>
      <c r="T821" s="17">
        <f t="shared" si="38"/>
        <v>36.400000000000006</v>
      </c>
    </row>
    <row r="822" spans="1:20" x14ac:dyDescent="0.35">
      <c r="A822" s="14" t="s">
        <v>101</v>
      </c>
      <c r="B822" s="15" t="s">
        <v>102</v>
      </c>
      <c r="C822" s="15" t="s">
        <v>93</v>
      </c>
      <c r="D822" s="15" t="s">
        <v>98</v>
      </c>
      <c r="E822" s="15" t="s">
        <v>91</v>
      </c>
      <c r="F822" s="15" t="s">
        <v>67</v>
      </c>
      <c r="G822" s="15" t="s">
        <v>76</v>
      </c>
      <c r="H822" s="15" t="s">
        <v>72</v>
      </c>
      <c r="I822" s="16">
        <v>24090</v>
      </c>
      <c r="J822" s="16">
        <v>20270</v>
      </c>
      <c r="K822" s="16">
        <v>23617</v>
      </c>
      <c r="L822" s="17">
        <v>273.5</v>
      </c>
      <c r="M822" s="17">
        <v>12.3</v>
      </c>
      <c r="N822" s="17">
        <f t="shared" si="36"/>
        <v>261.2</v>
      </c>
      <c r="O822" s="17">
        <v>209.3</v>
      </c>
      <c r="P822" s="17">
        <v>250.3</v>
      </c>
      <c r="Q822" s="17">
        <v>164</v>
      </c>
      <c r="R822" s="17">
        <f t="shared" si="37"/>
        <v>97.199999999999989</v>
      </c>
      <c r="S822" s="17">
        <v>134.5</v>
      </c>
      <c r="T822" s="17">
        <f t="shared" si="38"/>
        <v>74.800000000000011</v>
      </c>
    </row>
    <row r="823" spans="1:20" x14ac:dyDescent="0.35">
      <c r="A823" s="14" t="s">
        <v>101</v>
      </c>
      <c r="B823" s="15" t="s">
        <v>102</v>
      </c>
      <c r="C823" s="15" t="s">
        <v>93</v>
      </c>
      <c r="D823" s="15" t="s">
        <v>98</v>
      </c>
      <c r="E823" s="15" t="s">
        <v>91</v>
      </c>
      <c r="F823" s="15" t="s">
        <v>79</v>
      </c>
      <c r="G823" s="15" t="s">
        <v>95</v>
      </c>
      <c r="H823" s="15" t="s">
        <v>71</v>
      </c>
      <c r="I823" s="16">
        <v>19830</v>
      </c>
      <c r="J823" s="16">
        <v>16976</v>
      </c>
      <c r="K823" s="16">
        <v>19190</v>
      </c>
      <c r="L823" s="17">
        <v>84.9</v>
      </c>
      <c r="M823" s="17">
        <v>4.4000000000000004</v>
      </c>
      <c r="N823" s="17">
        <f t="shared" si="36"/>
        <v>80.5</v>
      </c>
      <c r="O823" s="17">
        <v>65.3</v>
      </c>
      <c r="P823" s="17">
        <v>77.400000000000006</v>
      </c>
      <c r="Q823" s="17">
        <v>49.3</v>
      </c>
      <c r="R823" s="17">
        <f t="shared" si="37"/>
        <v>31.200000000000003</v>
      </c>
      <c r="S823" s="17">
        <v>40.5</v>
      </c>
      <c r="T823" s="17">
        <f t="shared" si="38"/>
        <v>24.799999999999997</v>
      </c>
    </row>
    <row r="824" spans="1:20" x14ac:dyDescent="0.35">
      <c r="A824" s="14" t="s">
        <v>101</v>
      </c>
      <c r="B824" s="15" t="s">
        <v>102</v>
      </c>
      <c r="C824" s="15" t="s">
        <v>93</v>
      </c>
      <c r="D824" s="15" t="s">
        <v>98</v>
      </c>
      <c r="E824" s="15" t="s">
        <v>91</v>
      </c>
      <c r="F824" s="15" t="s">
        <v>81</v>
      </c>
      <c r="G824" s="15" t="s">
        <v>82</v>
      </c>
      <c r="H824" s="15" t="s">
        <v>71</v>
      </c>
      <c r="I824" s="16">
        <v>5978</v>
      </c>
      <c r="J824" s="16">
        <v>5039</v>
      </c>
      <c r="K824" s="16">
        <v>5807</v>
      </c>
      <c r="L824" s="17">
        <v>54.6</v>
      </c>
      <c r="M824" s="17">
        <v>2.9</v>
      </c>
      <c r="N824" s="17">
        <f t="shared" si="36"/>
        <v>51.7</v>
      </c>
      <c r="O824" s="17">
        <v>41.4</v>
      </c>
      <c r="P824" s="17">
        <v>49.7</v>
      </c>
      <c r="Q824" s="17">
        <v>31.4</v>
      </c>
      <c r="R824" s="17">
        <f t="shared" si="37"/>
        <v>20.300000000000004</v>
      </c>
      <c r="S824" s="17">
        <v>25.4</v>
      </c>
      <c r="T824" s="17">
        <f t="shared" si="38"/>
        <v>16</v>
      </c>
    </row>
    <row r="825" spans="1:20" x14ac:dyDescent="0.35">
      <c r="A825" s="14" t="s">
        <v>101</v>
      </c>
      <c r="B825" s="15" t="s">
        <v>102</v>
      </c>
      <c r="C825" s="15" t="s">
        <v>93</v>
      </c>
      <c r="D825" s="15" t="s">
        <v>98</v>
      </c>
      <c r="E825" s="15" t="s">
        <v>91</v>
      </c>
      <c r="F825" s="15" t="s">
        <v>83</v>
      </c>
      <c r="G825" s="15" t="s">
        <v>84</v>
      </c>
      <c r="H825" s="15" t="s">
        <v>72</v>
      </c>
      <c r="I825" s="16">
        <v>6063</v>
      </c>
      <c r="J825" s="16">
        <v>4652</v>
      </c>
      <c r="K825" s="16">
        <v>5880</v>
      </c>
      <c r="L825" s="17">
        <v>168.2</v>
      </c>
      <c r="M825" s="17">
        <v>6.9</v>
      </c>
      <c r="N825" s="17">
        <f t="shared" si="36"/>
        <v>161.29999999999998</v>
      </c>
      <c r="O825" s="17">
        <v>117.7</v>
      </c>
      <c r="P825" s="17">
        <v>155</v>
      </c>
      <c r="Q825" s="17">
        <v>91.5</v>
      </c>
      <c r="R825" s="17">
        <f t="shared" si="37"/>
        <v>69.799999999999983</v>
      </c>
      <c r="S825" s="17">
        <v>67.400000000000006</v>
      </c>
      <c r="T825" s="17">
        <f t="shared" si="38"/>
        <v>50.3</v>
      </c>
    </row>
    <row r="826" spans="1:20" x14ac:dyDescent="0.35">
      <c r="A826" s="14" t="s">
        <v>101</v>
      </c>
      <c r="B826" s="15" t="s">
        <v>102</v>
      </c>
      <c r="C826" s="15" t="s">
        <v>93</v>
      </c>
      <c r="D826" s="15" t="s">
        <v>98</v>
      </c>
      <c r="E826" s="15" t="s">
        <v>92</v>
      </c>
      <c r="F826" s="15" t="s">
        <v>67</v>
      </c>
      <c r="G826" s="15" t="s">
        <v>68</v>
      </c>
      <c r="H826" s="15" t="s">
        <v>69</v>
      </c>
      <c r="I826" s="16">
        <v>125248</v>
      </c>
      <c r="J826" s="16">
        <v>95182</v>
      </c>
      <c r="K826" s="16">
        <v>122423</v>
      </c>
      <c r="L826" s="17">
        <v>531.70000000000005</v>
      </c>
      <c r="M826" s="17">
        <v>43.3</v>
      </c>
      <c r="N826" s="17">
        <f t="shared" si="36"/>
        <v>488.40000000000003</v>
      </c>
      <c r="O826" s="17">
        <v>352.6</v>
      </c>
      <c r="P826" s="17">
        <v>471.4</v>
      </c>
      <c r="Q826" s="17">
        <v>274.8</v>
      </c>
      <c r="R826" s="17">
        <f t="shared" si="37"/>
        <v>213.60000000000002</v>
      </c>
      <c r="S826" s="17">
        <v>203.4</v>
      </c>
      <c r="T826" s="17">
        <f t="shared" si="38"/>
        <v>149.20000000000002</v>
      </c>
    </row>
    <row r="827" spans="1:20" x14ac:dyDescent="0.35">
      <c r="A827" s="14" t="s">
        <v>101</v>
      </c>
      <c r="B827" s="15" t="s">
        <v>102</v>
      </c>
      <c r="C827" s="15" t="s">
        <v>93</v>
      </c>
      <c r="D827" s="15" t="s">
        <v>98</v>
      </c>
      <c r="E827" s="15" t="s">
        <v>92</v>
      </c>
      <c r="F827" s="15" t="s">
        <v>67</v>
      </c>
      <c r="G827" s="15" t="s">
        <v>68</v>
      </c>
      <c r="H827" s="15" t="s">
        <v>70</v>
      </c>
      <c r="I827" s="16">
        <v>96835</v>
      </c>
      <c r="J827" s="16">
        <v>72412</v>
      </c>
      <c r="K827" s="16">
        <v>93570</v>
      </c>
      <c r="L827" s="17">
        <v>483.3</v>
      </c>
      <c r="M827" s="17">
        <v>41.8</v>
      </c>
      <c r="N827" s="17">
        <f t="shared" si="36"/>
        <v>441.5</v>
      </c>
      <c r="O827" s="17">
        <v>316.60000000000002</v>
      </c>
      <c r="P827" s="17">
        <v>423.2</v>
      </c>
      <c r="Q827" s="17">
        <v>247.5</v>
      </c>
      <c r="R827" s="17">
        <f t="shared" si="37"/>
        <v>194</v>
      </c>
      <c r="S827" s="17">
        <v>181.2</v>
      </c>
      <c r="T827" s="17">
        <f t="shared" si="38"/>
        <v>135.40000000000003</v>
      </c>
    </row>
    <row r="828" spans="1:20" x14ac:dyDescent="0.35">
      <c r="A828" s="14" t="s">
        <v>101</v>
      </c>
      <c r="B828" s="15" t="s">
        <v>102</v>
      </c>
      <c r="C828" s="15" t="s">
        <v>93</v>
      </c>
      <c r="D828" s="15" t="s">
        <v>98</v>
      </c>
      <c r="E828" s="15" t="s">
        <v>92</v>
      </c>
      <c r="F828" s="15" t="s">
        <v>67</v>
      </c>
      <c r="G828" s="15" t="s">
        <v>68</v>
      </c>
      <c r="H828" s="15" t="s">
        <v>71</v>
      </c>
      <c r="I828" s="16">
        <v>121688</v>
      </c>
      <c r="J828" s="16">
        <v>91840</v>
      </c>
      <c r="K828" s="16">
        <v>119288</v>
      </c>
      <c r="L828" s="17">
        <v>749.5</v>
      </c>
      <c r="M828" s="17">
        <v>52.8</v>
      </c>
      <c r="N828" s="17">
        <f t="shared" si="36"/>
        <v>696.7</v>
      </c>
      <c r="O828" s="17">
        <v>503</v>
      </c>
      <c r="P828" s="17">
        <v>676.1</v>
      </c>
      <c r="Q828" s="17">
        <v>423.9</v>
      </c>
      <c r="R828" s="17">
        <f t="shared" si="37"/>
        <v>272.80000000000007</v>
      </c>
      <c r="S828" s="17">
        <v>313</v>
      </c>
      <c r="T828" s="17">
        <f t="shared" si="38"/>
        <v>190</v>
      </c>
    </row>
    <row r="829" spans="1:20" x14ac:dyDescent="0.35">
      <c r="A829" s="14" t="s">
        <v>101</v>
      </c>
      <c r="B829" s="15" t="s">
        <v>102</v>
      </c>
      <c r="C829" s="15" t="s">
        <v>93</v>
      </c>
      <c r="D829" s="15" t="s">
        <v>98</v>
      </c>
      <c r="E829" s="15" t="s">
        <v>92</v>
      </c>
      <c r="F829" s="15" t="s">
        <v>67</v>
      </c>
      <c r="G829" s="15" t="s">
        <v>68</v>
      </c>
      <c r="H829" s="15" t="s">
        <v>72</v>
      </c>
      <c r="I829" s="16">
        <v>26653</v>
      </c>
      <c r="J829" s="16">
        <v>19934</v>
      </c>
      <c r="K829" s="16">
        <v>25979</v>
      </c>
      <c r="L829" s="17">
        <v>230.2</v>
      </c>
      <c r="M829" s="17">
        <v>19.8</v>
      </c>
      <c r="N829" s="17">
        <f t="shared" si="36"/>
        <v>210.39999999999998</v>
      </c>
      <c r="O829" s="17">
        <v>148.9</v>
      </c>
      <c r="P829" s="17">
        <v>202.1</v>
      </c>
      <c r="Q829" s="17">
        <v>132.1</v>
      </c>
      <c r="R829" s="17">
        <f t="shared" si="37"/>
        <v>78.299999999999983</v>
      </c>
      <c r="S829" s="17">
        <v>95.7</v>
      </c>
      <c r="T829" s="17">
        <f t="shared" si="38"/>
        <v>53.2</v>
      </c>
    </row>
    <row r="830" spans="1:20" x14ac:dyDescent="0.35">
      <c r="A830" s="14" t="s">
        <v>101</v>
      </c>
      <c r="B830" s="15" t="s">
        <v>102</v>
      </c>
      <c r="C830" s="15" t="s">
        <v>93</v>
      </c>
      <c r="D830" s="15" t="s">
        <v>98</v>
      </c>
      <c r="E830" s="15" t="s">
        <v>92</v>
      </c>
      <c r="F830" s="15" t="s">
        <v>67</v>
      </c>
      <c r="G830" s="15" t="s">
        <v>73</v>
      </c>
      <c r="H830" s="15" t="s">
        <v>71</v>
      </c>
      <c r="I830" s="16">
        <v>27107</v>
      </c>
      <c r="J830" s="16">
        <v>18935</v>
      </c>
      <c r="K830" s="16">
        <v>26504</v>
      </c>
      <c r="L830" s="17">
        <v>177</v>
      </c>
      <c r="M830" s="17">
        <v>13.7</v>
      </c>
      <c r="N830" s="17">
        <f t="shared" si="36"/>
        <v>163.30000000000001</v>
      </c>
      <c r="O830" s="17">
        <v>108</v>
      </c>
      <c r="P830" s="17">
        <v>156.6</v>
      </c>
      <c r="Q830" s="17">
        <v>100.5</v>
      </c>
      <c r="R830" s="17">
        <f t="shared" si="37"/>
        <v>62.800000000000011</v>
      </c>
      <c r="S830" s="17">
        <v>67.400000000000006</v>
      </c>
      <c r="T830" s="17">
        <f t="shared" si="38"/>
        <v>40.599999999999994</v>
      </c>
    </row>
    <row r="831" spans="1:20" x14ac:dyDescent="0.35">
      <c r="A831" s="14" t="s">
        <v>101</v>
      </c>
      <c r="B831" s="15" t="s">
        <v>102</v>
      </c>
      <c r="C831" s="15" t="s">
        <v>93</v>
      </c>
      <c r="D831" s="15" t="s">
        <v>98</v>
      </c>
      <c r="E831" s="15" t="s">
        <v>92</v>
      </c>
      <c r="F831" s="15" t="s">
        <v>67</v>
      </c>
      <c r="G831" s="15" t="s">
        <v>73</v>
      </c>
      <c r="H831" s="15" t="s">
        <v>72</v>
      </c>
      <c r="I831" s="16">
        <v>10045</v>
      </c>
      <c r="J831" s="16">
        <v>6982</v>
      </c>
      <c r="K831" s="16">
        <v>9838</v>
      </c>
      <c r="L831" s="17">
        <v>87.9</v>
      </c>
      <c r="M831" s="17">
        <v>7.1</v>
      </c>
      <c r="N831" s="17">
        <f t="shared" si="36"/>
        <v>80.800000000000011</v>
      </c>
      <c r="O831" s="17">
        <v>53.7</v>
      </c>
      <c r="P831" s="17">
        <v>78.400000000000006</v>
      </c>
      <c r="Q831" s="17">
        <v>50.6</v>
      </c>
      <c r="R831" s="17">
        <f t="shared" si="37"/>
        <v>30.20000000000001</v>
      </c>
      <c r="S831" s="17">
        <v>34.4</v>
      </c>
      <c r="T831" s="17">
        <f t="shared" si="38"/>
        <v>19.300000000000004</v>
      </c>
    </row>
    <row r="832" spans="1:20" x14ac:dyDescent="0.35">
      <c r="A832" s="14" t="s">
        <v>101</v>
      </c>
      <c r="B832" s="15" t="s">
        <v>102</v>
      </c>
      <c r="C832" s="15" t="s">
        <v>93</v>
      </c>
      <c r="D832" s="15" t="s">
        <v>98</v>
      </c>
      <c r="E832" s="15" t="s">
        <v>92</v>
      </c>
      <c r="F832" s="15" t="s">
        <v>67</v>
      </c>
      <c r="G832" s="15" t="s">
        <v>74</v>
      </c>
      <c r="H832" s="15" t="s">
        <v>70</v>
      </c>
      <c r="I832" s="16">
        <v>41905</v>
      </c>
      <c r="J832" s="16">
        <v>30928</v>
      </c>
      <c r="K832" s="16">
        <v>40740</v>
      </c>
      <c r="L832" s="17">
        <v>206.1</v>
      </c>
      <c r="M832" s="17">
        <v>14.6</v>
      </c>
      <c r="N832" s="17">
        <f t="shared" si="36"/>
        <v>191.5</v>
      </c>
      <c r="O832" s="17">
        <v>134.80000000000001</v>
      </c>
      <c r="P832" s="17">
        <v>185.1</v>
      </c>
      <c r="Q832" s="17">
        <v>110.9</v>
      </c>
      <c r="R832" s="17">
        <f t="shared" si="37"/>
        <v>80.599999999999994</v>
      </c>
      <c r="S832" s="17">
        <v>79.8</v>
      </c>
      <c r="T832" s="17">
        <f t="shared" si="38"/>
        <v>55.000000000000014</v>
      </c>
    </row>
    <row r="833" spans="1:20" x14ac:dyDescent="0.35">
      <c r="A833" s="14" t="s">
        <v>101</v>
      </c>
      <c r="B833" s="15" t="s">
        <v>102</v>
      </c>
      <c r="C833" s="15" t="s">
        <v>93</v>
      </c>
      <c r="D833" s="15" t="s">
        <v>98</v>
      </c>
      <c r="E833" s="15" t="s">
        <v>92</v>
      </c>
      <c r="F833" s="15" t="s">
        <v>67</v>
      </c>
      <c r="G833" s="15" t="s">
        <v>74</v>
      </c>
      <c r="H833" s="15" t="s">
        <v>71</v>
      </c>
      <c r="I833" s="16">
        <v>49080</v>
      </c>
      <c r="J833" s="16">
        <v>36583</v>
      </c>
      <c r="K833" s="16">
        <v>47825</v>
      </c>
      <c r="L833" s="17">
        <v>306</v>
      </c>
      <c r="M833" s="17">
        <v>24.8</v>
      </c>
      <c r="N833" s="17">
        <f t="shared" si="36"/>
        <v>281.2</v>
      </c>
      <c r="O833" s="17">
        <v>200</v>
      </c>
      <c r="P833" s="17">
        <v>270</v>
      </c>
      <c r="Q833" s="17">
        <v>175.6</v>
      </c>
      <c r="R833" s="17">
        <f t="shared" si="37"/>
        <v>105.6</v>
      </c>
      <c r="S833" s="17">
        <v>126.3</v>
      </c>
      <c r="T833" s="17">
        <f t="shared" si="38"/>
        <v>73.7</v>
      </c>
    </row>
    <row r="834" spans="1:20" x14ac:dyDescent="0.35">
      <c r="A834" s="14" t="s">
        <v>101</v>
      </c>
      <c r="B834" s="15" t="s">
        <v>102</v>
      </c>
      <c r="C834" s="15" t="s">
        <v>93</v>
      </c>
      <c r="D834" s="15" t="s">
        <v>98</v>
      </c>
      <c r="E834" s="15" t="s">
        <v>92</v>
      </c>
      <c r="F834" s="15" t="s">
        <v>67</v>
      </c>
      <c r="G834" s="15" t="s">
        <v>75</v>
      </c>
      <c r="H834" s="15" t="s">
        <v>71</v>
      </c>
      <c r="I834" s="16">
        <v>32732</v>
      </c>
      <c r="J834" s="16">
        <v>24644</v>
      </c>
      <c r="K834" s="16">
        <v>31808</v>
      </c>
      <c r="L834" s="17">
        <v>200.4</v>
      </c>
      <c r="M834" s="17">
        <v>15.2</v>
      </c>
      <c r="N834" s="17">
        <f t="shared" si="36"/>
        <v>185.20000000000002</v>
      </c>
      <c r="O834" s="17">
        <v>131.69999999999999</v>
      </c>
      <c r="P834" s="17">
        <v>177.1</v>
      </c>
      <c r="Q834" s="17">
        <v>116.6</v>
      </c>
      <c r="R834" s="17">
        <f t="shared" si="37"/>
        <v>68.600000000000023</v>
      </c>
      <c r="S834" s="17">
        <v>83.9</v>
      </c>
      <c r="T834" s="17">
        <f t="shared" si="38"/>
        <v>47.799999999999983</v>
      </c>
    </row>
    <row r="835" spans="1:20" x14ac:dyDescent="0.35">
      <c r="A835" s="14" t="s">
        <v>101</v>
      </c>
      <c r="B835" s="15" t="s">
        <v>102</v>
      </c>
      <c r="C835" s="15" t="s">
        <v>93</v>
      </c>
      <c r="D835" s="15" t="s">
        <v>98</v>
      </c>
      <c r="E835" s="15" t="s">
        <v>92</v>
      </c>
      <c r="F835" s="15" t="s">
        <v>67</v>
      </c>
      <c r="G835" s="15" t="s">
        <v>76</v>
      </c>
      <c r="H835" s="15" t="s">
        <v>72</v>
      </c>
      <c r="I835" s="16">
        <v>6540</v>
      </c>
      <c r="J835" s="16">
        <v>4757</v>
      </c>
      <c r="K835" s="16">
        <v>6359</v>
      </c>
      <c r="L835" s="17">
        <v>65.5</v>
      </c>
      <c r="M835" s="17">
        <v>4.5999999999999996</v>
      </c>
      <c r="N835" s="17">
        <f t="shared" si="36"/>
        <v>60.9</v>
      </c>
      <c r="O835" s="17">
        <v>41.9</v>
      </c>
      <c r="P835" s="17">
        <v>58.4</v>
      </c>
      <c r="Q835" s="17">
        <v>37.299999999999997</v>
      </c>
      <c r="R835" s="17">
        <f t="shared" si="37"/>
        <v>23.6</v>
      </c>
      <c r="S835" s="17">
        <v>26.2</v>
      </c>
      <c r="T835" s="17">
        <f t="shared" si="38"/>
        <v>15.7</v>
      </c>
    </row>
    <row r="836" spans="1:20" x14ac:dyDescent="0.35">
      <c r="A836" s="14" t="s">
        <v>101</v>
      </c>
      <c r="B836" s="15" t="s">
        <v>102</v>
      </c>
      <c r="C836" s="15" t="s">
        <v>93</v>
      </c>
      <c r="D836" s="15" t="s">
        <v>98</v>
      </c>
      <c r="E836" s="15" t="s">
        <v>92</v>
      </c>
      <c r="F836" s="15" t="s">
        <v>79</v>
      </c>
      <c r="G836" s="15" t="s">
        <v>95</v>
      </c>
      <c r="H836" s="15" t="s">
        <v>71</v>
      </c>
      <c r="I836" s="16">
        <v>36443</v>
      </c>
      <c r="J836" s="16">
        <v>26713</v>
      </c>
      <c r="K836" s="16">
        <v>35451</v>
      </c>
      <c r="L836" s="17">
        <v>142.5</v>
      </c>
      <c r="M836" s="17">
        <v>10.9</v>
      </c>
      <c r="N836" s="17">
        <f t="shared" ref="N836:N899" si="39">L836-M836</f>
        <v>131.6</v>
      </c>
      <c r="O836" s="17">
        <v>92.3</v>
      </c>
      <c r="P836" s="17">
        <v>126.4</v>
      </c>
      <c r="Q836" s="17">
        <v>77.400000000000006</v>
      </c>
      <c r="R836" s="17">
        <f t="shared" ref="R836:R899" si="40">N836-Q836</f>
        <v>54.199999999999989</v>
      </c>
      <c r="S836" s="17">
        <v>55.3</v>
      </c>
      <c r="T836" s="17">
        <f t="shared" ref="T836:T899" si="41">O836-S836</f>
        <v>37</v>
      </c>
    </row>
    <row r="837" spans="1:20" x14ac:dyDescent="0.35">
      <c r="A837" s="14" t="s">
        <v>101</v>
      </c>
      <c r="B837" s="15" t="s">
        <v>102</v>
      </c>
      <c r="C837" s="15" t="s">
        <v>93</v>
      </c>
      <c r="D837" s="15" t="s">
        <v>98</v>
      </c>
      <c r="E837" s="15" t="s">
        <v>92</v>
      </c>
      <c r="F837" s="15" t="s">
        <v>81</v>
      </c>
      <c r="G837" s="15" t="s">
        <v>82</v>
      </c>
      <c r="H837" s="15" t="s">
        <v>71</v>
      </c>
      <c r="I837" s="16">
        <v>10546</v>
      </c>
      <c r="J837" s="16">
        <v>7649</v>
      </c>
      <c r="K837" s="16">
        <v>10223</v>
      </c>
      <c r="L837" s="17">
        <v>87.9</v>
      </c>
      <c r="M837" s="17">
        <v>6.3</v>
      </c>
      <c r="N837" s="17">
        <f t="shared" si="39"/>
        <v>81.600000000000009</v>
      </c>
      <c r="O837" s="17">
        <v>56.2</v>
      </c>
      <c r="P837" s="17">
        <v>78.8</v>
      </c>
      <c r="Q837" s="17">
        <v>49.8</v>
      </c>
      <c r="R837" s="17">
        <f t="shared" si="40"/>
        <v>31.800000000000011</v>
      </c>
      <c r="S837" s="17">
        <v>34.6</v>
      </c>
      <c r="T837" s="17">
        <f t="shared" si="41"/>
        <v>21.6</v>
      </c>
    </row>
    <row r="838" spans="1:20" x14ac:dyDescent="0.35">
      <c r="A838" s="14" t="s">
        <v>101</v>
      </c>
      <c r="B838" s="15" t="s">
        <v>102</v>
      </c>
      <c r="C838" s="15" t="s">
        <v>93</v>
      </c>
      <c r="D838" s="15" t="s">
        <v>98</v>
      </c>
      <c r="E838" s="15" t="s">
        <v>92</v>
      </c>
      <c r="F838" s="15" t="s">
        <v>83</v>
      </c>
      <c r="G838" s="15" t="s">
        <v>84</v>
      </c>
      <c r="H838" s="15" t="s">
        <v>72</v>
      </c>
      <c r="I838" s="16">
        <v>5083</v>
      </c>
      <c r="J838" s="16">
        <v>3416</v>
      </c>
      <c r="K838" s="16">
        <v>4963</v>
      </c>
      <c r="L838" s="17">
        <v>134</v>
      </c>
      <c r="M838" s="17">
        <v>11.3</v>
      </c>
      <c r="N838" s="17">
        <f t="shared" si="39"/>
        <v>122.7</v>
      </c>
      <c r="O838" s="17">
        <v>77.8</v>
      </c>
      <c r="P838" s="17">
        <v>117.8</v>
      </c>
      <c r="Q838" s="17">
        <v>69.7</v>
      </c>
      <c r="R838" s="17">
        <f t="shared" si="40"/>
        <v>53</v>
      </c>
      <c r="S838" s="17">
        <v>45.1</v>
      </c>
      <c r="T838" s="17">
        <f t="shared" si="41"/>
        <v>32.699999999999996</v>
      </c>
    </row>
    <row r="839" spans="1:20" x14ac:dyDescent="0.35">
      <c r="A839" s="14" t="s">
        <v>101</v>
      </c>
      <c r="B839" s="15" t="s">
        <v>102</v>
      </c>
      <c r="C839" s="15" t="s">
        <v>64</v>
      </c>
      <c r="D839" s="15" t="s">
        <v>99</v>
      </c>
      <c r="E839" s="15" t="s">
        <v>66</v>
      </c>
      <c r="F839" s="15" t="s">
        <v>67</v>
      </c>
      <c r="G839" s="15" t="s">
        <v>68</v>
      </c>
      <c r="H839" s="15" t="s">
        <v>69</v>
      </c>
      <c r="I839" s="16">
        <v>50362</v>
      </c>
      <c r="J839" s="16">
        <v>46934</v>
      </c>
      <c r="K839" s="16">
        <v>49410</v>
      </c>
      <c r="L839" s="17">
        <v>251.1</v>
      </c>
      <c r="M839" s="17">
        <v>32.9</v>
      </c>
      <c r="N839" s="17">
        <f t="shared" si="39"/>
        <v>218.2</v>
      </c>
      <c r="O839" s="17">
        <v>193.5</v>
      </c>
      <c r="P839" s="17">
        <v>212.7</v>
      </c>
      <c r="Q839" s="17">
        <v>120.1</v>
      </c>
      <c r="R839" s="17">
        <f t="shared" si="40"/>
        <v>98.1</v>
      </c>
      <c r="S839" s="17">
        <v>107.7</v>
      </c>
      <c r="T839" s="17">
        <f t="shared" si="41"/>
        <v>85.8</v>
      </c>
    </row>
    <row r="840" spans="1:20" x14ac:dyDescent="0.35">
      <c r="A840" s="14" t="s">
        <v>101</v>
      </c>
      <c r="B840" s="15" t="s">
        <v>102</v>
      </c>
      <c r="C840" s="15" t="s">
        <v>64</v>
      </c>
      <c r="D840" s="15" t="s">
        <v>99</v>
      </c>
      <c r="E840" s="15" t="s">
        <v>66</v>
      </c>
      <c r="F840" s="15" t="s">
        <v>67</v>
      </c>
      <c r="G840" s="15" t="s">
        <v>68</v>
      </c>
      <c r="H840" s="15" t="s">
        <v>70</v>
      </c>
      <c r="I840" s="16">
        <v>102164</v>
      </c>
      <c r="J840" s="16">
        <v>90819</v>
      </c>
      <c r="K840" s="16">
        <v>100179</v>
      </c>
      <c r="L840" s="17">
        <v>604.9</v>
      </c>
      <c r="M840" s="17">
        <v>84.3</v>
      </c>
      <c r="N840" s="17">
        <f t="shared" si="39"/>
        <v>520.6</v>
      </c>
      <c r="O840" s="17">
        <v>434.6</v>
      </c>
      <c r="P840" s="17">
        <v>507</v>
      </c>
      <c r="Q840" s="17">
        <v>300.7</v>
      </c>
      <c r="R840" s="17">
        <f t="shared" si="40"/>
        <v>219.90000000000003</v>
      </c>
      <c r="S840" s="17">
        <v>257</v>
      </c>
      <c r="T840" s="17">
        <f t="shared" si="41"/>
        <v>177.60000000000002</v>
      </c>
    </row>
    <row r="841" spans="1:20" x14ac:dyDescent="0.35">
      <c r="A841" s="14" t="s">
        <v>101</v>
      </c>
      <c r="B841" s="15" t="s">
        <v>102</v>
      </c>
      <c r="C841" s="15" t="s">
        <v>64</v>
      </c>
      <c r="D841" s="15" t="s">
        <v>99</v>
      </c>
      <c r="E841" s="15" t="s">
        <v>66</v>
      </c>
      <c r="F841" s="15" t="s">
        <v>67</v>
      </c>
      <c r="G841" s="15" t="s">
        <v>68</v>
      </c>
      <c r="H841" s="15" t="s">
        <v>71</v>
      </c>
      <c r="I841" s="16">
        <v>258501</v>
      </c>
      <c r="J841" s="16">
        <v>235802</v>
      </c>
      <c r="K841" s="16">
        <v>253029</v>
      </c>
      <c r="L841" s="17">
        <v>1993.4</v>
      </c>
      <c r="M841" s="17">
        <v>290.2</v>
      </c>
      <c r="N841" s="17">
        <f t="shared" si="39"/>
        <v>1703.2</v>
      </c>
      <c r="O841" s="17">
        <v>1464.2</v>
      </c>
      <c r="P841" s="17">
        <v>1652.1</v>
      </c>
      <c r="Q841" s="17">
        <v>1074</v>
      </c>
      <c r="R841" s="17">
        <f t="shared" si="40"/>
        <v>629.20000000000005</v>
      </c>
      <c r="S841" s="17">
        <v>930.5</v>
      </c>
      <c r="T841" s="17">
        <f t="shared" si="41"/>
        <v>533.70000000000005</v>
      </c>
    </row>
    <row r="842" spans="1:20" x14ac:dyDescent="0.35">
      <c r="A842" s="14" t="s">
        <v>101</v>
      </c>
      <c r="B842" s="15" t="s">
        <v>102</v>
      </c>
      <c r="C842" s="15" t="s">
        <v>64</v>
      </c>
      <c r="D842" s="15" t="s">
        <v>99</v>
      </c>
      <c r="E842" s="15" t="s">
        <v>66</v>
      </c>
      <c r="F842" s="15" t="s">
        <v>67</v>
      </c>
      <c r="G842" s="15" t="s">
        <v>68</v>
      </c>
      <c r="H842" s="15" t="s">
        <v>72</v>
      </c>
      <c r="I842" s="16">
        <v>95125</v>
      </c>
      <c r="J842" s="16">
        <v>85088</v>
      </c>
      <c r="K842" s="16">
        <v>92867</v>
      </c>
      <c r="L842" s="17">
        <v>990</v>
      </c>
      <c r="M842" s="17">
        <v>136.1</v>
      </c>
      <c r="N842" s="17">
        <f t="shared" si="39"/>
        <v>853.9</v>
      </c>
      <c r="O842" s="17">
        <v>716.2</v>
      </c>
      <c r="P842" s="17">
        <v>832.6</v>
      </c>
      <c r="Q842" s="17">
        <v>557.5</v>
      </c>
      <c r="R842" s="17">
        <f t="shared" si="40"/>
        <v>296.39999999999998</v>
      </c>
      <c r="S842" s="17">
        <v>470.9</v>
      </c>
      <c r="T842" s="17">
        <f t="shared" si="41"/>
        <v>245.30000000000007</v>
      </c>
    </row>
    <row r="843" spans="1:20" x14ac:dyDescent="0.35">
      <c r="A843" s="14" t="s">
        <v>101</v>
      </c>
      <c r="B843" s="15" t="s">
        <v>102</v>
      </c>
      <c r="C843" s="15" t="s">
        <v>64</v>
      </c>
      <c r="D843" s="15" t="s">
        <v>99</v>
      </c>
      <c r="E843" s="15" t="s">
        <v>66</v>
      </c>
      <c r="F843" s="15" t="s">
        <v>67</v>
      </c>
      <c r="G843" s="15" t="s">
        <v>73</v>
      </c>
      <c r="H843" s="15" t="s">
        <v>71</v>
      </c>
      <c r="I843" s="16">
        <v>62002</v>
      </c>
      <c r="J843" s="16">
        <v>51843</v>
      </c>
      <c r="K843" s="16">
        <v>60651</v>
      </c>
      <c r="L843" s="17">
        <v>476</v>
      </c>
      <c r="M843" s="17">
        <v>67.900000000000006</v>
      </c>
      <c r="N843" s="17">
        <f t="shared" si="39"/>
        <v>408.1</v>
      </c>
      <c r="O843" s="17">
        <v>321.5</v>
      </c>
      <c r="P843" s="17">
        <v>399.9</v>
      </c>
      <c r="Q843" s="17">
        <v>255.9</v>
      </c>
      <c r="R843" s="17">
        <f t="shared" si="40"/>
        <v>152.20000000000002</v>
      </c>
      <c r="S843" s="17">
        <v>205.2</v>
      </c>
      <c r="T843" s="17">
        <f t="shared" si="41"/>
        <v>116.30000000000001</v>
      </c>
    </row>
    <row r="844" spans="1:20" x14ac:dyDescent="0.35">
      <c r="A844" s="14" t="s">
        <v>101</v>
      </c>
      <c r="B844" s="15" t="s">
        <v>102</v>
      </c>
      <c r="C844" s="15" t="s">
        <v>64</v>
      </c>
      <c r="D844" s="15" t="s">
        <v>99</v>
      </c>
      <c r="E844" s="15" t="s">
        <v>66</v>
      </c>
      <c r="F844" s="15" t="s">
        <v>67</v>
      </c>
      <c r="G844" s="15" t="s">
        <v>73</v>
      </c>
      <c r="H844" s="15" t="s">
        <v>72</v>
      </c>
      <c r="I844" s="16">
        <v>29852</v>
      </c>
      <c r="J844" s="16">
        <v>24841</v>
      </c>
      <c r="K844" s="16">
        <v>29090</v>
      </c>
      <c r="L844" s="17">
        <v>310.3</v>
      </c>
      <c r="M844" s="17">
        <v>42.1</v>
      </c>
      <c r="N844" s="17">
        <f t="shared" si="39"/>
        <v>268.2</v>
      </c>
      <c r="O844" s="17">
        <v>211.4</v>
      </c>
      <c r="P844" s="17">
        <v>261.5</v>
      </c>
      <c r="Q844" s="17">
        <v>171.4</v>
      </c>
      <c r="R844" s="17">
        <f t="shared" si="40"/>
        <v>96.799999999999983</v>
      </c>
      <c r="S844" s="17">
        <v>137</v>
      </c>
      <c r="T844" s="17">
        <f t="shared" si="41"/>
        <v>74.400000000000006</v>
      </c>
    </row>
    <row r="845" spans="1:20" x14ac:dyDescent="0.35">
      <c r="A845" s="14" t="s">
        <v>101</v>
      </c>
      <c r="B845" s="15" t="s">
        <v>102</v>
      </c>
      <c r="C845" s="15" t="s">
        <v>64</v>
      </c>
      <c r="D845" s="15" t="s">
        <v>99</v>
      </c>
      <c r="E845" s="15" t="s">
        <v>66</v>
      </c>
      <c r="F845" s="15" t="s">
        <v>67</v>
      </c>
      <c r="G845" s="15" t="s">
        <v>74</v>
      </c>
      <c r="H845" s="15" t="s">
        <v>70</v>
      </c>
      <c r="I845" s="16">
        <v>47320</v>
      </c>
      <c r="J845" s="16">
        <v>42083</v>
      </c>
      <c r="K845" s="16">
        <v>46217</v>
      </c>
      <c r="L845" s="17">
        <v>270.60000000000002</v>
      </c>
      <c r="M845" s="17">
        <v>39.6</v>
      </c>
      <c r="N845" s="17">
        <f t="shared" si="39"/>
        <v>231.00000000000003</v>
      </c>
      <c r="O845" s="17">
        <v>193.5</v>
      </c>
      <c r="P845" s="17">
        <v>222.4</v>
      </c>
      <c r="Q845" s="17">
        <v>128.5</v>
      </c>
      <c r="R845" s="17">
        <f t="shared" si="40"/>
        <v>102.50000000000003</v>
      </c>
      <c r="S845" s="17">
        <v>109.3</v>
      </c>
      <c r="T845" s="17">
        <f t="shared" si="41"/>
        <v>84.2</v>
      </c>
    </row>
    <row r="846" spans="1:20" x14ac:dyDescent="0.35">
      <c r="A846" s="14" t="s">
        <v>101</v>
      </c>
      <c r="B846" s="15" t="s">
        <v>102</v>
      </c>
      <c r="C846" s="15" t="s">
        <v>64</v>
      </c>
      <c r="D846" s="15" t="s">
        <v>99</v>
      </c>
      <c r="E846" s="15" t="s">
        <v>66</v>
      </c>
      <c r="F846" s="15" t="s">
        <v>67</v>
      </c>
      <c r="G846" s="15" t="s">
        <v>74</v>
      </c>
      <c r="H846" s="15" t="s">
        <v>71</v>
      </c>
      <c r="I846" s="16">
        <v>103575</v>
      </c>
      <c r="J846" s="16">
        <v>94469</v>
      </c>
      <c r="K846" s="16">
        <v>101118</v>
      </c>
      <c r="L846" s="17">
        <v>746.3</v>
      </c>
      <c r="M846" s="17">
        <v>100.3</v>
      </c>
      <c r="N846" s="17">
        <f t="shared" si="39"/>
        <v>646</v>
      </c>
      <c r="O846" s="17">
        <v>556.9</v>
      </c>
      <c r="P846" s="17">
        <v>623.9</v>
      </c>
      <c r="Q846" s="17">
        <v>405.3</v>
      </c>
      <c r="R846" s="17">
        <f t="shared" si="40"/>
        <v>240.7</v>
      </c>
      <c r="S846" s="17">
        <v>355.9</v>
      </c>
      <c r="T846" s="17">
        <f t="shared" si="41"/>
        <v>201</v>
      </c>
    </row>
    <row r="847" spans="1:20" x14ac:dyDescent="0.35">
      <c r="A847" s="14" t="s">
        <v>101</v>
      </c>
      <c r="B847" s="15" t="s">
        <v>102</v>
      </c>
      <c r="C847" s="15" t="s">
        <v>64</v>
      </c>
      <c r="D847" s="15" t="s">
        <v>99</v>
      </c>
      <c r="E847" s="15" t="s">
        <v>66</v>
      </c>
      <c r="F847" s="15" t="s">
        <v>67</v>
      </c>
      <c r="G847" s="15" t="s">
        <v>75</v>
      </c>
      <c r="H847" s="15" t="s">
        <v>71</v>
      </c>
      <c r="I847" s="16">
        <v>69070</v>
      </c>
      <c r="J847" s="16">
        <v>63040</v>
      </c>
      <c r="K847" s="16">
        <v>67689</v>
      </c>
      <c r="L847" s="17">
        <v>496.3</v>
      </c>
      <c r="M847" s="17">
        <v>70.3</v>
      </c>
      <c r="N847" s="17">
        <f t="shared" si="39"/>
        <v>426</v>
      </c>
      <c r="O847" s="17">
        <v>367.4</v>
      </c>
      <c r="P847" s="17">
        <v>417.3</v>
      </c>
      <c r="Q847" s="17">
        <v>269.39999999999998</v>
      </c>
      <c r="R847" s="17">
        <f t="shared" si="40"/>
        <v>156.60000000000002</v>
      </c>
      <c r="S847" s="17">
        <v>236.6</v>
      </c>
      <c r="T847" s="17">
        <f t="shared" si="41"/>
        <v>130.79999999999998</v>
      </c>
    </row>
    <row r="848" spans="1:20" x14ac:dyDescent="0.35">
      <c r="A848" s="14" t="s">
        <v>101</v>
      </c>
      <c r="B848" s="15" t="s">
        <v>102</v>
      </c>
      <c r="C848" s="15" t="s">
        <v>64</v>
      </c>
      <c r="D848" s="15" t="s">
        <v>99</v>
      </c>
      <c r="E848" s="15" t="s">
        <v>66</v>
      </c>
      <c r="F848" s="15" t="s">
        <v>67</v>
      </c>
      <c r="G848" s="15" t="s">
        <v>76</v>
      </c>
      <c r="H848" s="15" t="s">
        <v>72</v>
      </c>
      <c r="I848" s="16">
        <v>21375</v>
      </c>
      <c r="J848" s="16">
        <v>18896</v>
      </c>
      <c r="K848" s="16">
        <v>21006</v>
      </c>
      <c r="L848" s="17">
        <v>257.8</v>
      </c>
      <c r="M848" s="17">
        <v>35.799999999999997</v>
      </c>
      <c r="N848" s="17">
        <f t="shared" si="39"/>
        <v>222</v>
      </c>
      <c r="O848" s="17">
        <v>185</v>
      </c>
      <c r="P848" s="17">
        <v>215.9</v>
      </c>
      <c r="Q848" s="17">
        <v>139.30000000000001</v>
      </c>
      <c r="R848" s="17">
        <f t="shared" si="40"/>
        <v>82.699999999999989</v>
      </c>
      <c r="S848" s="17">
        <v>117.4</v>
      </c>
      <c r="T848" s="17">
        <f t="shared" si="41"/>
        <v>67.599999999999994</v>
      </c>
    </row>
    <row r="849" spans="1:20" x14ac:dyDescent="0.35">
      <c r="A849" s="14" t="s">
        <v>101</v>
      </c>
      <c r="B849" s="15" t="s">
        <v>102</v>
      </c>
      <c r="C849" s="15" t="s">
        <v>64</v>
      </c>
      <c r="D849" s="15" t="s">
        <v>99</v>
      </c>
      <c r="E849" s="15" t="s">
        <v>66</v>
      </c>
      <c r="F849" s="15" t="s">
        <v>79</v>
      </c>
      <c r="G849" s="15" t="s">
        <v>80</v>
      </c>
      <c r="H849" s="15" t="s">
        <v>71</v>
      </c>
      <c r="I849" s="16">
        <v>79879</v>
      </c>
      <c r="J849" s="16">
        <v>71478</v>
      </c>
      <c r="K849" s="16">
        <v>78082</v>
      </c>
      <c r="L849" s="17">
        <v>371</v>
      </c>
      <c r="M849" s="17">
        <v>48.5</v>
      </c>
      <c r="N849" s="17">
        <f t="shared" si="39"/>
        <v>322.5</v>
      </c>
      <c r="O849" s="17">
        <v>270.5</v>
      </c>
      <c r="P849" s="17">
        <v>314.39999999999998</v>
      </c>
      <c r="Q849" s="17">
        <v>190.5</v>
      </c>
      <c r="R849" s="17">
        <f t="shared" si="40"/>
        <v>132</v>
      </c>
      <c r="S849" s="17">
        <v>162.4</v>
      </c>
      <c r="T849" s="17">
        <f t="shared" si="41"/>
        <v>108.1</v>
      </c>
    </row>
    <row r="850" spans="1:20" x14ac:dyDescent="0.35">
      <c r="A850" s="14" t="s">
        <v>101</v>
      </c>
      <c r="B850" s="15" t="s">
        <v>102</v>
      </c>
      <c r="C850" s="15" t="s">
        <v>64</v>
      </c>
      <c r="D850" s="15" t="s">
        <v>99</v>
      </c>
      <c r="E850" s="15" t="s">
        <v>66</v>
      </c>
      <c r="F850" s="15" t="s">
        <v>81</v>
      </c>
      <c r="G850" s="15" t="s">
        <v>82</v>
      </c>
      <c r="H850" s="15" t="s">
        <v>71</v>
      </c>
      <c r="I850" s="16">
        <v>22999</v>
      </c>
      <c r="J850" s="16">
        <v>20084</v>
      </c>
      <c r="K850" s="16">
        <v>22689</v>
      </c>
      <c r="L850" s="17">
        <v>229.6</v>
      </c>
      <c r="M850" s="17">
        <v>31.6</v>
      </c>
      <c r="N850" s="17">
        <f t="shared" si="39"/>
        <v>198</v>
      </c>
      <c r="O850" s="17">
        <v>163.19999999999999</v>
      </c>
      <c r="P850" s="17">
        <v>191.9</v>
      </c>
      <c r="Q850" s="17">
        <v>123.3</v>
      </c>
      <c r="R850" s="17">
        <f t="shared" si="40"/>
        <v>74.7</v>
      </c>
      <c r="S850" s="17">
        <v>102.8</v>
      </c>
      <c r="T850" s="17">
        <f t="shared" si="41"/>
        <v>60.399999999999991</v>
      </c>
    </row>
    <row r="851" spans="1:20" x14ac:dyDescent="0.35">
      <c r="A851" s="14" t="s">
        <v>101</v>
      </c>
      <c r="B851" s="15" t="s">
        <v>102</v>
      </c>
      <c r="C851" s="15" t="s">
        <v>64</v>
      </c>
      <c r="D851" s="15" t="s">
        <v>99</v>
      </c>
      <c r="E851" s="15" t="s">
        <v>66</v>
      </c>
      <c r="F851" s="15" t="s">
        <v>83</v>
      </c>
      <c r="G851" s="15" t="s">
        <v>84</v>
      </c>
      <c r="H851" s="15" t="s">
        <v>72</v>
      </c>
      <c r="I851" s="16">
        <v>26001</v>
      </c>
      <c r="J851" s="16">
        <v>20624</v>
      </c>
      <c r="K851" s="16">
        <v>25556</v>
      </c>
      <c r="L851" s="17">
        <v>814.6</v>
      </c>
      <c r="M851" s="17">
        <v>119.8</v>
      </c>
      <c r="N851" s="17">
        <f t="shared" si="39"/>
        <v>694.80000000000007</v>
      </c>
      <c r="O851" s="17">
        <v>524.79999999999995</v>
      </c>
      <c r="P851" s="17">
        <v>678.6</v>
      </c>
      <c r="Q851" s="17">
        <v>397</v>
      </c>
      <c r="R851" s="17">
        <f t="shared" si="40"/>
        <v>297.80000000000007</v>
      </c>
      <c r="S851" s="17">
        <v>304.10000000000002</v>
      </c>
      <c r="T851" s="17">
        <f t="shared" si="41"/>
        <v>220.69999999999993</v>
      </c>
    </row>
    <row r="852" spans="1:20" x14ac:dyDescent="0.35">
      <c r="A852" s="14" t="s">
        <v>101</v>
      </c>
      <c r="B852" s="15" t="s">
        <v>102</v>
      </c>
      <c r="C852" s="15" t="s">
        <v>64</v>
      </c>
      <c r="D852" s="15" t="s">
        <v>99</v>
      </c>
      <c r="E852" s="15" t="s">
        <v>89</v>
      </c>
      <c r="F852" s="15" t="s">
        <v>67</v>
      </c>
      <c r="G852" s="15" t="s">
        <v>68</v>
      </c>
      <c r="H852" s="15" t="s">
        <v>69</v>
      </c>
      <c r="I852" s="16">
        <v>302825</v>
      </c>
      <c r="J852" s="16">
        <v>285399</v>
      </c>
      <c r="K852" s="16">
        <v>297000</v>
      </c>
      <c r="L852" s="17">
        <v>1468.2</v>
      </c>
      <c r="M852" s="17">
        <v>99.4</v>
      </c>
      <c r="N852" s="17">
        <f t="shared" si="39"/>
        <v>1368.8</v>
      </c>
      <c r="O852" s="17">
        <v>1206.0999999999999</v>
      </c>
      <c r="P852" s="17">
        <v>1326.8</v>
      </c>
      <c r="Q852" s="17">
        <v>763</v>
      </c>
      <c r="R852" s="17">
        <f t="shared" si="40"/>
        <v>605.79999999999995</v>
      </c>
      <c r="S852" s="17">
        <v>687.9</v>
      </c>
      <c r="T852" s="17">
        <f t="shared" si="41"/>
        <v>518.19999999999993</v>
      </c>
    </row>
    <row r="853" spans="1:20" x14ac:dyDescent="0.35">
      <c r="A853" s="14" t="s">
        <v>101</v>
      </c>
      <c r="B853" s="15" t="s">
        <v>102</v>
      </c>
      <c r="C853" s="15" t="s">
        <v>64</v>
      </c>
      <c r="D853" s="15" t="s">
        <v>99</v>
      </c>
      <c r="E853" s="15" t="s">
        <v>89</v>
      </c>
      <c r="F853" s="15" t="s">
        <v>67</v>
      </c>
      <c r="G853" s="15" t="s">
        <v>68</v>
      </c>
      <c r="H853" s="15" t="s">
        <v>70</v>
      </c>
      <c r="I853" s="16">
        <v>312643</v>
      </c>
      <c r="J853" s="16">
        <v>283900</v>
      </c>
      <c r="K853" s="16">
        <v>306107</v>
      </c>
      <c r="L853" s="17">
        <v>1832.6</v>
      </c>
      <c r="M853" s="17">
        <v>111.9</v>
      </c>
      <c r="N853" s="17">
        <f t="shared" si="39"/>
        <v>1720.6999999999998</v>
      </c>
      <c r="O853" s="17">
        <v>1472.8</v>
      </c>
      <c r="P853" s="17">
        <v>1665.1</v>
      </c>
      <c r="Q853" s="17">
        <v>964.9</v>
      </c>
      <c r="R853" s="17">
        <f t="shared" si="40"/>
        <v>755.79999999999984</v>
      </c>
      <c r="S853" s="17">
        <v>847.7</v>
      </c>
      <c r="T853" s="17">
        <f t="shared" si="41"/>
        <v>625.09999999999991</v>
      </c>
    </row>
    <row r="854" spans="1:20" x14ac:dyDescent="0.35">
      <c r="A854" s="14" t="s">
        <v>101</v>
      </c>
      <c r="B854" s="15" t="s">
        <v>102</v>
      </c>
      <c r="C854" s="15" t="s">
        <v>64</v>
      </c>
      <c r="D854" s="15" t="s">
        <v>99</v>
      </c>
      <c r="E854" s="15" t="s">
        <v>89</v>
      </c>
      <c r="F854" s="15" t="s">
        <v>67</v>
      </c>
      <c r="G854" s="15" t="s">
        <v>68</v>
      </c>
      <c r="H854" s="15" t="s">
        <v>71</v>
      </c>
      <c r="I854" s="16">
        <v>304246</v>
      </c>
      <c r="J854" s="16">
        <v>279707</v>
      </c>
      <c r="K854" s="16">
        <v>297401</v>
      </c>
      <c r="L854" s="17">
        <v>2221.4</v>
      </c>
      <c r="M854" s="17">
        <v>161.69999999999999</v>
      </c>
      <c r="N854" s="17">
        <f t="shared" si="39"/>
        <v>2059.7000000000003</v>
      </c>
      <c r="O854" s="17">
        <v>1793.6</v>
      </c>
      <c r="P854" s="17">
        <v>1992.7</v>
      </c>
      <c r="Q854" s="17">
        <v>1256.7</v>
      </c>
      <c r="R854" s="17">
        <f t="shared" si="40"/>
        <v>803.00000000000023</v>
      </c>
      <c r="S854" s="17">
        <v>1120.7</v>
      </c>
      <c r="T854" s="17">
        <f t="shared" si="41"/>
        <v>672.89999999999986</v>
      </c>
    </row>
    <row r="855" spans="1:20" x14ac:dyDescent="0.35">
      <c r="A855" s="14" t="s">
        <v>101</v>
      </c>
      <c r="B855" s="15" t="s">
        <v>102</v>
      </c>
      <c r="C855" s="15" t="s">
        <v>64</v>
      </c>
      <c r="D855" s="15" t="s">
        <v>99</v>
      </c>
      <c r="E855" s="15" t="s">
        <v>89</v>
      </c>
      <c r="F855" s="15" t="s">
        <v>67</v>
      </c>
      <c r="G855" s="15" t="s">
        <v>68</v>
      </c>
      <c r="H855" s="15" t="s">
        <v>72</v>
      </c>
      <c r="I855" s="16">
        <v>60489</v>
      </c>
      <c r="J855" s="16">
        <v>54987</v>
      </c>
      <c r="K855" s="16">
        <v>58962</v>
      </c>
      <c r="L855" s="17">
        <v>613.20000000000005</v>
      </c>
      <c r="M855" s="17">
        <v>47.9</v>
      </c>
      <c r="N855" s="17">
        <f t="shared" si="39"/>
        <v>565.30000000000007</v>
      </c>
      <c r="O855" s="17">
        <v>483.2</v>
      </c>
      <c r="P855" s="17">
        <v>548.4</v>
      </c>
      <c r="Q855" s="17">
        <v>366.9</v>
      </c>
      <c r="R855" s="17">
        <f t="shared" si="40"/>
        <v>198.40000000000009</v>
      </c>
      <c r="S855" s="17">
        <v>317.3</v>
      </c>
      <c r="T855" s="17">
        <f t="shared" si="41"/>
        <v>165.89999999999998</v>
      </c>
    </row>
    <row r="856" spans="1:20" x14ac:dyDescent="0.35">
      <c r="A856" s="14" t="s">
        <v>101</v>
      </c>
      <c r="B856" s="15" t="s">
        <v>102</v>
      </c>
      <c r="C856" s="15" t="s">
        <v>64</v>
      </c>
      <c r="D856" s="15" t="s">
        <v>99</v>
      </c>
      <c r="E856" s="15" t="s">
        <v>89</v>
      </c>
      <c r="F856" s="15" t="s">
        <v>67</v>
      </c>
      <c r="G856" s="15" t="s">
        <v>73</v>
      </c>
      <c r="H856" s="15" t="s">
        <v>71</v>
      </c>
      <c r="I856" s="16">
        <v>83934</v>
      </c>
      <c r="J856" s="16">
        <v>70960</v>
      </c>
      <c r="K856" s="16">
        <v>81955</v>
      </c>
      <c r="L856" s="17">
        <v>624.70000000000005</v>
      </c>
      <c r="M856" s="17">
        <v>43.2</v>
      </c>
      <c r="N856" s="17">
        <f t="shared" si="39"/>
        <v>581.5</v>
      </c>
      <c r="O856" s="17">
        <v>466.6</v>
      </c>
      <c r="P856" s="17">
        <v>562.5</v>
      </c>
      <c r="Q856" s="17">
        <v>369.1</v>
      </c>
      <c r="R856" s="17">
        <f t="shared" si="40"/>
        <v>212.39999999999998</v>
      </c>
      <c r="S856" s="17">
        <v>298.7</v>
      </c>
      <c r="T856" s="17">
        <f t="shared" si="41"/>
        <v>167.90000000000003</v>
      </c>
    </row>
    <row r="857" spans="1:20" x14ac:dyDescent="0.35">
      <c r="A857" s="14" t="s">
        <v>101</v>
      </c>
      <c r="B857" s="15" t="s">
        <v>102</v>
      </c>
      <c r="C857" s="15" t="s">
        <v>64</v>
      </c>
      <c r="D857" s="15" t="s">
        <v>99</v>
      </c>
      <c r="E857" s="15" t="s">
        <v>89</v>
      </c>
      <c r="F857" s="15" t="s">
        <v>67</v>
      </c>
      <c r="G857" s="15" t="s">
        <v>73</v>
      </c>
      <c r="H857" s="15" t="s">
        <v>72</v>
      </c>
      <c r="I857" s="16">
        <v>23315</v>
      </c>
      <c r="J857" s="16">
        <v>19448</v>
      </c>
      <c r="K857" s="16">
        <v>22693</v>
      </c>
      <c r="L857" s="17">
        <v>226.7</v>
      </c>
      <c r="M857" s="17">
        <v>17.3</v>
      </c>
      <c r="N857" s="17">
        <f t="shared" si="39"/>
        <v>209.39999999999998</v>
      </c>
      <c r="O857" s="17">
        <v>164.3</v>
      </c>
      <c r="P857" s="17">
        <v>204.9</v>
      </c>
      <c r="Q857" s="17">
        <v>131.30000000000001</v>
      </c>
      <c r="R857" s="17">
        <f t="shared" si="40"/>
        <v>78.099999999999966</v>
      </c>
      <c r="S857" s="17">
        <v>105.3</v>
      </c>
      <c r="T857" s="17">
        <f t="shared" si="41"/>
        <v>59.000000000000014</v>
      </c>
    </row>
    <row r="858" spans="1:20" x14ac:dyDescent="0.35">
      <c r="A858" s="14" t="s">
        <v>101</v>
      </c>
      <c r="B858" s="15" t="s">
        <v>102</v>
      </c>
      <c r="C858" s="15" t="s">
        <v>64</v>
      </c>
      <c r="D858" s="15" t="s">
        <v>99</v>
      </c>
      <c r="E858" s="15" t="s">
        <v>89</v>
      </c>
      <c r="F858" s="15" t="s">
        <v>67</v>
      </c>
      <c r="G858" s="15" t="s">
        <v>74</v>
      </c>
      <c r="H858" s="15" t="s">
        <v>70</v>
      </c>
      <c r="I858" s="16">
        <v>130920</v>
      </c>
      <c r="J858" s="16">
        <v>118820</v>
      </c>
      <c r="K858" s="16">
        <v>127482</v>
      </c>
      <c r="L858" s="17">
        <v>740.9</v>
      </c>
      <c r="M858" s="17">
        <v>50.7</v>
      </c>
      <c r="N858" s="17">
        <f t="shared" si="39"/>
        <v>690.19999999999993</v>
      </c>
      <c r="O858" s="17">
        <v>594.6</v>
      </c>
      <c r="P858" s="17">
        <v>668.9</v>
      </c>
      <c r="Q858" s="17">
        <v>400.5</v>
      </c>
      <c r="R858" s="17">
        <f t="shared" si="40"/>
        <v>289.69999999999993</v>
      </c>
      <c r="S858" s="17">
        <v>348.4</v>
      </c>
      <c r="T858" s="17">
        <f t="shared" si="41"/>
        <v>246.20000000000005</v>
      </c>
    </row>
    <row r="859" spans="1:20" x14ac:dyDescent="0.35">
      <c r="A859" s="14" t="s">
        <v>101</v>
      </c>
      <c r="B859" s="15" t="s">
        <v>102</v>
      </c>
      <c r="C859" s="15" t="s">
        <v>64</v>
      </c>
      <c r="D859" s="15" t="s">
        <v>99</v>
      </c>
      <c r="E859" s="15" t="s">
        <v>89</v>
      </c>
      <c r="F859" s="15" t="s">
        <v>67</v>
      </c>
      <c r="G859" s="15" t="s">
        <v>74</v>
      </c>
      <c r="H859" s="15" t="s">
        <v>71</v>
      </c>
      <c r="I859" s="16">
        <v>125840</v>
      </c>
      <c r="J859" s="16">
        <v>115972</v>
      </c>
      <c r="K859" s="16">
        <v>123932</v>
      </c>
      <c r="L859" s="17">
        <v>901.5</v>
      </c>
      <c r="M859" s="17">
        <v>56.3</v>
      </c>
      <c r="N859" s="17">
        <f t="shared" si="39"/>
        <v>845.2</v>
      </c>
      <c r="O859" s="17">
        <v>738.3</v>
      </c>
      <c r="P859" s="17">
        <v>817.5</v>
      </c>
      <c r="Q859" s="17">
        <v>523</v>
      </c>
      <c r="R859" s="17">
        <f t="shared" si="40"/>
        <v>322.20000000000005</v>
      </c>
      <c r="S859" s="17">
        <v>463.4</v>
      </c>
      <c r="T859" s="17">
        <f t="shared" si="41"/>
        <v>274.89999999999998</v>
      </c>
    </row>
    <row r="860" spans="1:20" x14ac:dyDescent="0.35">
      <c r="A860" s="14" t="s">
        <v>101</v>
      </c>
      <c r="B860" s="15" t="s">
        <v>102</v>
      </c>
      <c r="C860" s="15" t="s">
        <v>64</v>
      </c>
      <c r="D860" s="15" t="s">
        <v>99</v>
      </c>
      <c r="E860" s="15" t="s">
        <v>89</v>
      </c>
      <c r="F860" s="15" t="s">
        <v>67</v>
      </c>
      <c r="G860" s="15" t="s">
        <v>75</v>
      </c>
      <c r="H860" s="15" t="s">
        <v>71</v>
      </c>
      <c r="I860" s="16">
        <v>87998</v>
      </c>
      <c r="J860" s="16">
        <v>81014</v>
      </c>
      <c r="K860" s="16">
        <v>86721</v>
      </c>
      <c r="L860" s="17">
        <v>633.6</v>
      </c>
      <c r="M860" s="17">
        <v>41.8</v>
      </c>
      <c r="N860" s="17">
        <f t="shared" si="39"/>
        <v>591.80000000000007</v>
      </c>
      <c r="O860" s="17">
        <v>511.1</v>
      </c>
      <c r="P860" s="17">
        <v>570</v>
      </c>
      <c r="Q860" s="17">
        <v>366.1</v>
      </c>
      <c r="R860" s="17">
        <f t="shared" si="40"/>
        <v>225.70000000000005</v>
      </c>
      <c r="S860" s="17">
        <v>323.7</v>
      </c>
      <c r="T860" s="17">
        <f t="shared" si="41"/>
        <v>187.40000000000003</v>
      </c>
    </row>
    <row r="861" spans="1:20" x14ac:dyDescent="0.35">
      <c r="A861" s="14" t="s">
        <v>101</v>
      </c>
      <c r="B861" s="15" t="s">
        <v>102</v>
      </c>
      <c r="C861" s="15" t="s">
        <v>64</v>
      </c>
      <c r="D861" s="15" t="s">
        <v>99</v>
      </c>
      <c r="E861" s="15" t="s">
        <v>89</v>
      </c>
      <c r="F861" s="15" t="s">
        <v>67</v>
      </c>
      <c r="G861" s="15" t="s">
        <v>76</v>
      </c>
      <c r="H861" s="15" t="s">
        <v>72</v>
      </c>
      <c r="I861" s="16">
        <v>15225</v>
      </c>
      <c r="J861" s="16">
        <v>13610</v>
      </c>
      <c r="K861" s="16">
        <v>14926</v>
      </c>
      <c r="L861" s="17">
        <v>184.7</v>
      </c>
      <c r="M861" s="17">
        <v>13.4</v>
      </c>
      <c r="N861" s="17">
        <f t="shared" si="39"/>
        <v>171.29999999999998</v>
      </c>
      <c r="O861" s="17">
        <v>143.5</v>
      </c>
      <c r="P861" s="17">
        <v>166.2</v>
      </c>
      <c r="Q861" s="17">
        <v>108.2</v>
      </c>
      <c r="R861" s="17">
        <f t="shared" si="40"/>
        <v>63.09999999999998</v>
      </c>
      <c r="S861" s="17">
        <v>91.4</v>
      </c>
      <c r="T861" s="17">
        <f t="shared" si="41"/>
        <v>52.099999999999994</v>
      </c>
    </row>
    <row r="862" spans="1:20" x14ac:dyDescent="0.35">
      <c r="A862" s="14" t="s">
        <v>101</v>
      </c>
      <c r="B862" s="15" t="s">
        <v>102</v>
      </c>
      <c r="C862" s="15" t="s">
        <v>64</v>
      </c>
      <c r="D862" s="15" t="s">
        <v>99</v>
      </c>
      <c r="E862" s="15" t="s">
        <v>89</v>
      </c>
      <c r="F862" s="15" t="s">
        <v>79</v>
      </c>
      <c r="G862" s="15" t="s">
        <v>80</v>
      </c>
      <c r="H862" s="15" t="s">
        <v>71</v>
      </c>
      <c r="I862" s="16">
        <v>88268</v>
      </c>
      <c r="J862" s="16">
        <v>80592</v>
      </c>
      <c r="K862" s="16">
        <v>86971</v>
      </c>
      <c r="L862" s="17">
        <v>390.8</v>
      </c>
      <c r="M862" s="17">
        <v>29.1</v>
      </c>
      <c r="N862" s="17">
        <f t="shared" si="39"/>
        <v>361.7</v>
      </c>
      <c r="O862" s="17">
        <v>310.7</v>
      </c>
      <c r="P862" s="17">
        <v>353.5</v>
      </c>
      <c r="Q862" s="17">
        <v>219.3</v>
      </c>
      <c r="R862" s="17">
        <f t="shared" si="40"/>
        <v>142.39999999999998</v>
      </c>
      <c r="S862" s="17">
        <v>193</v>
      </c>
      <c r="T862" s="17">
        <f t="shared" si="41"/>
        <v>117.69999999999999</v>
      </c>
    </row>
    <row r="863" spans="1:20" x14ac:dyDescent="0.35">
      <c r="A863" s="14" t="s">
        <v>101</v>
      </c>
      <c r="B863" s="15" t="s">
        <v>102</v>
      </c>
      <c r="C863" s="15" t="s">
        <v>64</v>
      </c>
      <c r="D863" s="15" t="s">
        <v>99</v>
      </c>
      <c r="E863" s="15" t="s">
        <v>89</v>
      </c>
      <c r="F863" s="15" t="s">
        <v>81</v>
      </c>
      <c r="G863" s="15" t="s">
        <v>82</v>
      </c>
      <c r="H863" s="15" t="s">
        <v>71</v>
      </c>
      <c r="I863" s="16">
        <v>33069</v>
      </c>
      <c r="J863" s="16">
        <v>29441</v>
      </c>
      <c r="K863" s="16">
        <v>32634</v>
      </c>
      <c r="L863" s="17">
        <v>319.8</v>
      </c>
      <c r="M863" s="17">
        <v>24.2</v>
      </c>
      <c r="N863" s="17">
        <f t="shared" si="39"/>
        <v>295.60000000000002</v>
      </c>
      <c r="O863" s="17">
        <v>246.7</v>
      </c>
      <c r="P863" s="17">
        <v>285.39999999999998</v>
      </c>
      <c r="Q863" s="17">
        <v>186.5</v>
      </c>
      <c r="R863" s="17">
        <f t="shared" si="40"/>
        <v>109.10000000000002</v>
      </c>
      <c r="S863" s="17">
        <v>158.6</v>
      </c>
      <c r="T863" s="17">
        <f t="shared" si="41"/>
        <v>88.1</v>
      </c>
    </row>
    <row r="864" spans="1:20" x14ac:dyDescent="0.35">
      <c r="A864" s="14" t="s">
        <v>101</v>
      </c>
      <c r="B864" s="15" t="s">
        <v>102</v>
      </c>
      <c r="C864" s="15" t="s">
        <v>64</v>
      </c>
      <c r="D864" s="15" t="s">
        <v>99</v>
      </c>
      <c r="E864" s="15" t="s">
        <v>89</v>
      </c>
      <c r="F864" s="15" t="s">
        <v>83</v>
      </c>
      <c r="G864" s="15" t="s">
        <v>84</v>
      </c>
      <c r="H864" s="15" t="s">
        <v>72</v>
      </c>
      <c r="I864" s="16">
        <v>12432</v>
      </c>
      <c r="J864" s="16">
        <v>9959</v>
      </c>
      <c r="K864" s="16">
        <v>12269</v>
      </c>
      <c r="L864" s="17">
        <v>358.6</v>
      </c>
      <c r="M864" s="17">
        <v>21.7</v>
      </c>
      <c r="N864" s="17">
        <f t="shared" si="39"/>
        <v>336.90000000000003</v>
      </c>
      <c r="O864" s="17">
        <v>252.3</v>
      </c>
      <c r="P864" s="17">
        <v>326</v>
      </c>
      <c r="Q864" s="17">
        <v>198.5</v>
      </c>
      <c r="R864" s="17">
        <f t="shared" si="40"/>
        <v>138.40000000000003</v>
      </c>
      <c r="S864" s="17">
        <v>151.19999999999999</v>
      </c>
      <c r="T864" s="17">
        <f t="shared" si="41"/>
        <v>101.10000000000002</v>
      </c>
    </row>
    <row r="865" spans="1:20" x14ac:dyDescent="0.35">
      <c r="A865" s="14" t="s">
        <v>101</v>
      </c>
      <c r="B865" s="15" t="s">
        <v>102</v>
      </c>
      <c r="C865" s="15" t="s">
        <v>64</v>
      </c>
      <c r="D865" s="15" t="s">
        <v>99</v>
      </c>
      <c r="E865" s="15" t="s">
        <v>90</v>
      </c>
      <c r="F865" s="15" t="s">
        <v>67</v>
      </c>
      <c r="G865" s="15" t="s">
        <v>68</v>
      </c>
      <c r="H865" s="15" t="s">
        <v>69</v>
      </c>
      <c r="I865" s="16">
        <v>99559</v>
      </c>
      <c r="J865" s="16">
        <v>92656</v>
      </c>
      <c r="K865" s="16">
        <v>96870</v>
      </c>
      <c r="L865" s="17">
        <v>442</v>
      </c>
      <c r="M865" s="17">
        <v>52.7</v>
      </c>
      <c r="N865" s="17">
        <f t="shared" si="39"/>
        <v>389.3</v>
      </c>
      <c r="O865" s="17">
        <v>342.4</v>
      </c>
      <c r="P865" s="17">
        <v>375.1</v>
      </c>
      <c r="Q865" s="17">
        <v>218.4</v>
      </c>
      <c r="R865" s="17">
        <f t="shared" si="40"/>
        <v>170.9</v>
      </c>
      <c r="S865" s="17">
        <v>197.2</v>
      </c>
      <c r="T865" s="17">
        <f t="shared" si="41"/>
        <v>145.19999999999999</v>
      </c>
    </row>
    <row r="866" spans="1:20" x14ac:dyDescent="0.35">
      <c r="A866" s="14" t="s">
        <v>101</v>
      </c>
      <c r="B866" s="15" t="s">
        <v>102</v>
      </c>
      <c r="C866" s="15" t="s">
        <v>64</v>
      </c>
      <c r="D866" s="15" t="s">
        <v>99</v>
      </c>
      <c r="E866" s="15" t="s">
        <v>90</v>
      </c>
      <c r="F866" s="15" t="s">
        <v>67</v>
      </c>
      <c r="G866" s="15" t="s">
        <v>68</v>
      </c>
      <c r="H866" s="15" t="s">
        <v>70</v>
      </c>
      <c r="I866" s="16">
        <v>118790</v>
      </c>
      <c r="J866" s="16">
        <v>110321</v>
      </c>
      <c r="K866" s="16">
        <v>116024</v>
      </c>
      <c r="L866" s="17">
        <v>624.1</v>
      </c>
      <c r="M866" s="17">
        <v>69.400000000000006</v>
      </c>
      <c r="N866" s="17">
        <f t="shared" si="39"/>
        <v>554.70000000000005</v>
      </c>
      <c r="O866" s="17">
        <v>489.3</v>
      </c>
      <c r="P866" s="17">
        <v>536.6</v>
      </c>
      <c r="Q866" s="17">
        <v>321.3</v>
      </c>
      <c r="R866" s="17">
        <f t="shared" si="40"/>
        <v>233.40000000000003</v>
      </c>
      <c r="S866" s="17">
        <v>286.89999999999998</v>
      </c>
      <c r="T866" s="17">
        <f t="shared" si="41"/>
        <v>202.40000000000003</v>
      </c>
    </row>
    <row r="867" spans="1:20" x14ac:dyDescent="0.35">
      <c r="A867" s="14" t="s">
        <v>101</v>
      </c>
      <c r="B867" s="15" t="s">
        <v>102</v>
      </c>
      <c r="C867" s="15" t="s">
        <v>64</v>
      </c>
      <c r="D867" s="15" t="s">
        <v>99</v>
      </c>
      <c r="E867" s="15" t="s">
        <v>90</v>
      </c>
      <c r="F867" s="15" t="s">
        <v>67</v>
      </c>
      <c r="G867" s="15" t="s">
        <v>68</v>
      </c>
      <c r="H867" s="15" t="s">
        <v>71</v>
      </c>
      <c r="I867" s="16">
        <v>171253</v>
      </c>
      <c r="J867" s="16">
        <v>158044</v>
      </c>
      <c r="K867" s="16">
        <v>166745</v>
      </c>
      <c r="L867" s="17">
        <v>1167.5</v>
      </c>
      <c r="M867" s="17">
        <v>131.5</v>
      </c>
      <c r="N867" s="17">
        <f t="shared" si="39"/>
        <v>1036</v>
      </c>
      <c r="O867" s="17">
        <v>896.9</v>
      </c>
      <c r="P867" s="17">
        <v>1003.2</v>
      </c>
      <c r="Q867" s="17">
        <v>631</v>
      </c>
      <c r="R867" s="17">
        <f t="shared" si="40"/>
        <v>405</v>
      </c>
      <c r="S867" s="17">
        <v>552.1</v>
      </c>
      <c r="T867" s="17">
        <f t="shared" si="41"/>
        <v>344.79999999999995</v>
      </c>
    </row>
    <row r="868" spans="1:20" x14ac:dyDescent="0.35">
      <c r="A868" s="14" t="s">
        <v>101</v>
      </c>
      <c r="B868" s="15" t="s">
        <v>102</v>
      </c>
      <c r="C868" s="15" t="s">
        <v>64</v>
      </c>
      <c r="D868" s="15" t="s">
        <v>99</v>
      </c>
      <c r="E868" s="15" t="s">
        <v>90</v>
      </c>
      <c r="F868" s="15" t="s">
        <v>67</v>
      </c>
      <c r="G868" s="15" t="s">
        <v>68</v>
      </c>
      <c r="H868" s="15" t="s">
        <v>72</v>
      </c>
      <c r="I868" s="16">
        <v>49278</v>
      </c>
      <c r="J868" s="16">
        <v>45305</v>
      </c>
      <c r="K868" s="16">
        <v>48306</v>
      </c>
      <c r="L868" s="17">
        <v>445.1</v>
      </c>
      <c r="M868" s="17">
        <v>48.5</v>
      </c>
      <c r="N868" s="17">
        <f t="shared" si="39"/>
        <v>396.6</v>
      </c>
      <c r="O868" s="17">
        <v>344</v>
      </c>
      <c r="P868" s="17">
        <v>386.5</v>
      </c>
      <c r="Q868" s="17">
        <v>259.8</v>
      </c>
      <c r="R868" s="17">
        <f t="shared" si="40"/>
        <v>136.80000000000001</v>
      </c>
      <c r="S868" s="17">
        <v>229.4</v>
      </c>
      <c r="T868" s="17">
        <f t="shared" si="41"/>
        <v>114.6</v>
      </c>
    </row>
    <row r="869" spans="1:20" x14ac:dyDescent="0.35">
      <c r="A869" s="14" t="s">
        <v>101</v>
      </c>
      <c r="B869" s="15" t="s">
        <v>102</v>
      </c>
      <c r="C869" s="15" t="s">
        <v>64</v>
      </c>
      <c r="D869" s="15" t="s">
        <v>99</v>
      </c>
      <c r="E869" s="15" t="s">
        <v>90</v>
      </c>
      <c r="F869" s="15" t="s">
        <v>67</v>
      </c>
      <c r="G869" s="15" t="s">
        <v>73</v>
      </c>
      <c r="H869" s="15" t="s">
        <v>71</v>
      </c>
      <c r="I869" s="16">
        <v>42068</v>
      </c>
      <c r="J869" s="16">
        <v>36406</v>
      </c>
      <c r="K869" s="16">
        <v>40985</v>
      </c>
      <c r="L869" s="17">
        <v>282.2</v>
      </c>
      <c r="M869" s="17">
        <v>33.4</v>
      </c>
      <c r="N869" s="17">
        <f t="shared" si="39"/>
        <v>248.79999999999998</v>
      </c>
      <c r="O869" s="17">
        <v>204.3</v>
      </c>
      <c r="P869" s="17">
        <v>242.4</v>
      </c>
      <c r="Q869" s="17">
        <v>151.19999999999999</v>
      </c>
      <c r="R869" s="17">
        <f t="shared" si="40"/>
        <v>97.6</v>
      </c>
      <c r="S869" s="17">
        <v>125.7</v>
      </c>
      <c r="T869" s="17">
        <f t="shared" si="41"/>
        <v>78.600000000000009</v>
      </c>
    </row>
    <row r="870" spans="1:20" x14ac:dyDescent="0.35">
      <c r="A870" s="14" t="s">
        <v>101</v>
      </c>
      <c r="B870" s="15" t="s">
        <v>102</v>
      </c>
      <c r="C870" s="15" t="s">
        <v>64</v>
      </c>
      <c r="D870" s="15" t="s">
        <v>99</v>
      </c>
      <c r="E870" s="15" t="s">
        <v>90</v>
      </c>
      <c r="F870" s="15" t="s">
        <v>67</v>
      </c>
      <c r="G870" s="15" t="s">
        <v>73</v>
      </c>
      <c r="H870" s="15" t="s">
        <v>72</v>
      </c>
      <c r="I870" s="16">
        <v>14763</v>
      </c>
      <c r="J870" s="16">
        <v>12401</v>
      </c>
      <c r="K870" s="16">
        <v>14410</v>
      </c>
      <c r="L870" s="17">
        <v>131</v>
      </c>
      <c r="M870" s="17">
        <v>15.2</v>
      </c>
      <c r="N870" s="17">
        <f t="shared" si="39"/>
        <v>115.8</v>
      </c>
      <c r="O870" s="17">
        <v>92.5</v>
      </c>
      <c r="P870" s="17">
        <v>112</v>
      </c>
      <c r="Q870" s="17">
        <v>74.5</v>
      </c>
      <c r="R870" s="17">
        <f t="shared" si="40"/>
        <v>41.3</v>
      </c>
      <c r="S870" s="17">
        <v>60.3</v>
      </c>
      <c r="T870" s="17">
        <f t="shared" si="41"/>
        <v>32.200000000000003</v>
      </c>
    </row>
    <row r="871" spans="1:20" x14ac:dyDescent="0.35">
      <c r="A871" s="14" t="s">
        <v>101</v>
      </c>
      <c r="B871" s="15" t="s">
        <v>102</v>
      </c>
      <c r="C871" s="15" t="s">
        <v>64</v>
      </c>
      <c r="D871" s="15" t="s">
        <v>99</v>
      </c>
      <c r="E871" s="15" t="s">
        <v>90</v>
      </c>
      <c r="F871" s="15" t="s">
        <v>67</v>
      </c>
      <c r="G871" s="15" t="s">
        <v>74</v>
      </c>
      <c r="H871" s="15" t="s">
        <v>70</v>
      </c>
      <c r="I871" s="16">
        <v>52746</v>
      </c>
      <c r="J871" s="16">
        <v>47948</v>
      </c>
      <c r="K871" s="16">
        <v>51511</v>
      </c>
      <c r="L871" s="17">
        <v>275.2</v>
      </c>
      <c r="M871" s="17">
        <v>28.4</v>
      </c>
      <c r="N871" s="17">
        <f t="shared" si="39"/>
        <v>246.79999999999998</v>
      </c>
      <c r="O871" s="17">
        <v>211</v>
      </c>
      <c r="P871" s="17">
        <v>240.9</v>
      </c>
      <c r="Q871" s="17">
        <v>138.5</v>
      </c>
      <c r="R871" s="17">
        <f t="shared" si="40"/>
        <v>108.29999999999998</v>
      </c>
      <c r="S871" s="17">
        <v>120.5</v>
      </c>
      <c r="T871" s="17">
        <f t="shared" si="41"/>
        <v>90.5</v>
      </c>
    </row>
    <row r="872" spans="1:20" x14ac:dyDescent="0.35">
      <c r="A872" s="14" t="s">
        <v>101</v>
      </c>
      <c r="B872" s="15" t="s">
        <v>102</v>
      </c>
      <c r="C872" s="15" t="s">
        <v>64</v>
      </c>
      <c r="D872" s="15" t="s">
        <v>99</v>
      </c>
      <c r="E872" s="15" t="s">
        <v>90</v>
      </c>
      <c r="F872" s="15" t="s">
        <v>67</v>
      </c>
      <c r="G872" s="15" t="s">
        <v>74</v>
      </c>
      <c r="H872" s="15" t="s">
        <v>71</v>
      </c>
      <c r="I872" s="16">
        <v>68970</v>
      </c>
      <c r="J872" s="16">
        <v>63095</v>
      </c>
      <c r="K872" s="16">
        <v>67387</v>
      </c>
      <c r="L872" s="17">
        <v>437.9</v>
      </c>
      <c r="M872" s="17">
        <v>45.3</v>
      </c>
      <c r="N872" s="17">
        <f t="shared" si="39"/>
        <v>392.59999999999997</v>
      </c>
      <c r="O872" s="17">
        <v>341.7</v>
      </c>
      <c r="P872" s="17">
        <v>382.7</v>
      </c>
      <c r="Q872" s="17">
        <v>245.6</v>
      </c>
      <c r="R872" s="17">
        <f t="shared" si="40"/>
        <v>146.99999999999997</v>
      </c>
      <c r="S872" s="17">
        <v>215.3</v>
      </c>
      <c r="T872" s="17">
        <f t="shared" si="41"/>
        <v>126.39999999999998</v>
      </c>
    </row>
    <row r="873" spans="1:20" x14ac:dyDescent="0.35">
      <c r="A873" s="14" t="s">
        <v>101</v>
      </c>
      <c r="B873" s="15" t="s">
        <v>102</v>
      </c>
      <c r="C873" s="15" t="s">
        <v>64</v>
      </c>
      <c r="D873" s="15" t="s">
        <v>99</v>
      </c>
      <c r="E873" s="15" t="s">
        <v>90</v>
      </c>
      <c r="F873" s="15" t="s">
        <v>67</v>
      </c>
      <c r="G873" s="15" t="s">
        <v>75</v>
      </c>
      <c r="H873" s="15" t="s">
        <v>71</v>
      </c>
      <c r="I873" s="16">
        <v>52188</v>
      </c>
      <c r="J873" s="16">
        <v>47936</v>
      </c>
      <c r="K873" s="16">
        <v>51220</v>
      </c>
      <c r="L873" s="17">
        <v>337.2</v>
      </c>
      <c r="M873" s="17">
        <v>36</v>
      </c>
      <c r="N873" s="17">
        <f t="shared" si="39"/>
        <v>301.2</v>
      </c>
      <c r="O873" s="17">
        <v>260.39999999999998</v>
      </c>
      <c r="P873" s="17">
        <v>293.2</v>
      </c>
      <c r="Q873" s="17">
        <v>191</v>
      </c>
      <c r="R873" s="17">
        <f t="shared" si="40"/>
        <v>110.19999999999999</v>
      </c>
      <c r="S873" s="17">
        <v>168.8</v>
      </c>
      <c r="T873" s="17">
        <f t="shared" si="41"/>
        <v>91.599999999999966</v>
      </c>
    </row>
    <row r="874" spans="1:20" x14ac:dyDescent="0.35">
      <c r="A874" s="14" t="s">
        <v>101</v>
      </c>
      <c r="B874" s="15" t="s">
        <v>102</v>
      </c>
      <c r="C874" s="15" t="s">
        <v>64</v>
      </c>
      <c r="D874" s="15" t="s">
        <v>99</v>
      </c>
      <c r="E874" s="15" t="s">
        <v>90</v>
      </c>
      <c r="F874" s="15" t="s">
        <v>67</v>
      </c>
      <c r="G874" s="15" t="s">
        <v>76</v>
      </c>
      <c r="H874" s="15" t="s">
        <v>72</v>
      </c>
      <c r="I874" s="16">
        <v>12898</v>
      </c>
      <c r="J874" s="16">
        <v>11778</v>
      </c>
      <c r="K874" s="16">
        <v>12549</v>
      </c>
      <c r="L874" s="17">
        <v>136.5</v>
      </c>
      <c r="M874" s="17">
        <v>13.9</v>
      </c>
      <c r="N874" s="17">
        <f t="shared" si="39"/>
        <v>122.6</v>
      </c>
      <c r="O874" s="17">
        <v>106.2</v>
      </c>
      <c r="P874" s="17">
        <v>119.8</v>
      </c>
      <c r="Q874" s="17">
        <v>76.599999999999994</v>
      </c>
      <c r="R874" s="17">
        <f t="shared" si="40"/>
        <v>46</v>
      </c>
      <c r="S874" s="17">
        <v>67.5</v>
      </c>
      <c r="T874" s="17">
        <f t="shared" si="41"/>
        <v>38.700000000000003</v>
      </c>
    </row>
    <row r="875" spans="1:20" x14ac:dyDescent="0.35">
      <c r="A875" s="14" t="s">
        <v>101</v>
      </c>
      <c r="B875" s="15" t="s">
        <v>102</v>
      </c>
      <c r="C875" s="15" t="s">
        <v>64</v>
      </c>
      <c r="D875" s="15" t="s">
        <v>99</v>
      </c>
      <c r="E875" s="15" t="s">
        <v>90</v>
      </c>
      <c r="F875" s="15" t="s">
        <v>79</v>
      </c>
      <c r="G875" s="15" t="s">
        <v>80</v>
      </c>
      <c r="H875" s="15" t="s">
        <v>71</v>
      </c>
      <c r="I875" s="16">
        <v>49276</v>
      </c>
      <c r="J875" s="16">
        <v>44625</v>
      </c>
      <c r="K875" s="16">
        <v>47984</v>
      </c>
      <c r="L875" s="17">
        <v>202.2</v>
      </c>
      <c r="M875" s="17">
        <v>24.3</v>
      </c>
      <c r="N875" s="17">
        <f t="shared" si="39"/>
        <v>177.89999999999998</v>
      </c>
      <c r="O875" s="17">
        <v>152.9</v>
      </c>
      <c r="P875" s="17">
        <v>174</v>
      </c>
      <c r="Q875" s="17">
        <v>107.4</v>
      </c>
      <c r="R875" s="17">
        <f t="shared" si="40"/>
        <v>70.499999999999972</v>
      </c>
      <c r="S875" s="17">
        <v>94.3</v>
      </c>
      <c r="T875" s="17">
        <f t="shared" si="41"/>
        <v>58.600000000000009</v>
      </c>
    </row>
    <row r="876" spans="1:20" x14ac:dyDescent="0.35">
      <c r="A876" s="14" t="s">
        <v>101</v>
      </c>
      <c r="B876" s="15" t="s">
        <v>102</v>
      </c>
      <c r="C876" s="15" t="s">
        <v>64</v>
      </c>
      <c r="D876" s="15" t="s">
        <v>99</v>
      </c>
      <c r="E876" s="15" t="s">
        <v>90</v>
      </c>
      <c r="F876" s="15" t="s">
        <v>81</v>
      </c>
      <c r="G876" s="15" t="s">
        <v>82</v>
      </c>
      <c r="H876" s="15" t="s">
        <v>71</v>
      </c>
      <c r="I876" s="16">
        <v>16761</v>
      </c>
      <c r="J876" s="16">
        <v>15127</v>
      </c>
      <c r="K876" s="16">
        <v>16376</v>
      </c>
      <c r="L876" s="17">
        <v>149.5</v>
      </c>
      <c r="M876" s="17">
        <v>17.7</v>
      </c>
      <c r="N876" s="17">
        <f t="shared" si="39"/>
        <v>131.80000000000001</v>
      </c>
      <c r="O876" s="17">
        <v>112.3</v>
      </c>
      <c r="P876" s="17">
        <v>128.80000000000001</v>
      </c>
      <c r="Q876" s="17">
        <v>80.400000000000006</v>
      </c>
      <c r="R876" s="17">
        <f t="shared" si="40"/>
        <v>51.400000000000006</v>
      </c>
      <c r="S876" s="17">
        <v>69.8</v>
      </c>
      <c r="T876" s="17">
        <f t="shared" si="41"/>
        <v>42.5</v>
      </c>
    </row>
    <row r="877" spans="1:20" x14ac:dyDescent="0.35">
      <c r="A877" s="14" t="s">
        <v>101</v>
      </c>
      <c r="B877" s="15" t="s">
        <v>102</v>
      </c>
      <c r="C877" s="15" t="s">
        <v>64</v>
      </c>
      <c r="D877" s="15" t="s">
        <v>99</v>
      </c>
      <c r="E877" s="15" t="s">
        <v>90</v>
      </c>
      <c r="F877" s="15" t="s">
        <v>83</v>
      </c>
      <c r="G877" s="15" t="s">
        <v>84</v>
      </c>
      <c r="H877" s="15" t="s">
        <v>72</v>
      </c>
      <c r="I877" s="16">
        <v>8873</v>
      </c>
      <c r="J877" s="16">
        <v>7138</v>
      </c>
      <c r="K877" s="16">
        <v>8635</v>
      </c>
      <c r="L877" s="17">
        <v>234.8</v>
      </c>
      <c r="M877" s="17">
        <v>27</v>
      </c>
      <c r="N877" s="17">
        <f t="shared" si="39"/>
        <v>207.8</v>
      </c>
      <c r="O877" s="17">
        <v>157.5</v>
      </c>
      <c r="P877" s="17">
        <v>200.6</v>
      </c>
      <c r="Q877" s="17">
        <v>121.6</v>
      </c>
      <c r="R877" s="17">
        <f t="shared" si="40"/>
        <v>86.200000000000017</v>
      </c>
      <c r="S877" s="17">
        <v>93.7</v>
      </c>
      <c r="T877" s="17">
        <f t="shared" si="41"/>
        <v>63.8</v>
      </c>
    </row>
    <row r="878" spans="1:20" x14ac:dyDescent="0.35">
      <c r="A878" s="14" t="s">
        <v>101</v>
      </c>
      <c r="B878" s="15" t="s">
        <v>102</v>
      </c>
      <c r="C878" s="15" t="s">
        <v>64</v>
      </c>
      <c r="D878" s="15" t="s">
        <v>99</v>
      </c>
      <c r="E878" s="15" t="s">
        <v>91</v>
      </c>
      <c r="F878" s="15" t="s">
        <v>67</v>
      </c>
      <c r="G878" s="15" t="s">
        <v>68</v>
      </c>
      <c r="H878" s="15" t="s">
        <v>69</v>
      </c>
      <c r="I878" s="16">
        <v>67920</v>
      </c>
      <c r="J878" s="16">
        <v>61525</v>
      </c>
      <c r="K878" s="16">
        <v>67037</v>
      </c>
      <c r="L878" s="17">
        <v>353.1</v>
      </c>
      <c r="M878" s="17">
        <v>15.4</v>
      </c>
      <c r="N878" s="17">
        <f t="shared" si="39"/>
        <v>337.70000000000005</v>
      </c>
      <c r="O878" s="17">
        <v>288</v>
      </c>
      <c r="P878" s="17">
        <v>326.3</v>
      </c>
      <c r="Q878" s="17">
        <v>182.5</v>
      </c>
      <c r="R878" s="17">
        <f t="shared" si="40"/>
        <v>155.20000000000005</v>
      </c>
      <c r="S878" s="17">
        <v>159.6</v>
      </c>
      <c r="T878" s="17">
        <f t="shared" si="41"/>
        <v>128.4</v>
      </c>
    </row>
    <row r="879" spans="1:20" x14ac:dyDescent="0.35">
      <c r="A879" s="14" t="s">
        <v>101</v>
      </c>
      <c r="B879" s="15" t="s">
        <v>102</v>
      </c>
      <c r="C879" s="15" t="s">
        <v>64</v>
      </c>
      <c r="D879" s="15" t="s">
        <v>99</v>
      </c>
      <c r="E879" s="15" t="s">
        <v>91</v>
      </c>
      <c r="F879" s="15" t="s">
        <v>67</v>
      </c>
      <c r="G879" s="15" t="s">
        <v>68</v>
      </c>
      <c r="H879" s="15" t="s">
        <v>70</v>
      </c>
      <c r="I879" s="16">
        <v>31612</v>
      </c>
      <c r="J879" s="16">
        <v>27708</v>
      </c>
      <c r="K879" s="16">
        <v>30776</v>
      </c>
      <c r="L879" s="17">
        <v>189.9</v>
      </c>
      <c r="M879" s="17">
        <v>8.1</v>
      </c>
      <c r="N879" s="17">
        <f t="shared" si="39"/>
        <v>181.8</v>
      </c>
      <c r="O879" s="17">
        <v>149.1</v>
      </c>
      <c r="P879" s="17">
        <v>175.3</v>
      </c>
      <c r="Q879" s="17">
        <v>104.5</v>
      </c>
      <c r="R879" s="17">
        <f t="shared" si="40"/>
        <v>77.300000000000011</v>
      </c>
      <c r="S879" s="17">
        <v>87.4</v>
      </c>
      <c r="T879" s="17">
        <f t="shared" si="41"/>
        <v>61.699999999999989</v>
      </c>
    </row>
    <row r="880" spans="1:20" x14ac:dyDescent="0.35">
      <c r="A880" s="14" t="s">
        <v>101</v>
      </c>
      <c r="B880" s="15" t="s">
        <v>102</v>
      </c>
      <c r="C880" s="15" t="s">
        <v>64</v>
      </c>
      <c r="D880" s="15" t="s">
        <v>99</v>
      </c>
      <c r="E880" s="15" t="s">
        <v>91</v>
      </c>
      <c r="F880" s="15" t="s">
        <v>67</v>
      </c>
      <c r="G880" s="15" t="s">
        <v>68</v>
      </c>
      <c r="H880" s="15" t="s">
        <v>71</v>
      </c>
      <c r="I880" s="16">
        <v>60064</v>
      </c>
      <c r="J880" s="16">
        <v>54518</v>
      </c>
      <c r="K880" s="16">
        <v>59199</v>
      </c>
      <c r="L880" s="17">
        <v>473.3</v>
      </c>
      <c r="M880" s="17">
        <v>22.3</v>
      </c>
      <c r="N880" s="17">
        <f t="shared" si="39"/>
        <v>451</v>
      </c>
      <c r="O880" s="17">
        <v>387.3</v>
      </c>
      <c r="P880" s="17">
        <v>441.7</v>
      </c>
      <c r="Q880" s="17">
        <v>273.89999999999998</v>
      </c>
      <c r="R880" s="17">
        <f t="shared" si="40"/>
        <v>177.10000000000002</v>
      </c>
      <c r="S880" s="17">
        <v>240.5</v>
      </c>
      <c r="T880" s="17">
        <f t="shared" si="41"/>
        <v>146.80000000000001</v>
      </c>
    </row>
    <row r="881" spans="1:20" x14ac:dyDescent="0.35">
      <c r="A881" s="14" t="s">
        <v>101</v>
      </c>
      <c r="B881" s="15" t="s">
        <v>102</v>
      </c>
      <c r="C881" s="15" t="s">
        <v>64</v>
      </c>
      <c r="D881" s="15" t="s">
        <v>99</v>
      </c>
      <c r="E881" s="15" t="s">
        <v>91</v>
      </c>
      <c r="F881" s="15" t="s">
        <v>67</v>
      </c>
      <c r="G881" s="15" t="s">
        <v>68</v>
      </c>
      <c r="H881" s="15" t="s">
        <v>72</v>
      </c>
      <c r="I881" s="16">
        <v>25612</v>
      </c>
      <c r="J881" s="16">
        <v>22678</v>
      </c>
      <c r="K881" s="16">
        <v>24977</v>
      </c>
      <c r="L881" s="17">
        <v>269.39999999999998</v>
      </c>
      <c r="M881" s="17">
        <v>12.3</v>
      </c>
      <c r="N881" s="17">
        <f t="shared" si="39"/>
        <v>257.09999999999997</v>
      </c>
      <c r="O881" s="17">
        <v>213.5</v>
      </c>
      <c r="P881" s="17">
        <v>250.8</v>
      </c>
      <c r="Q881" s="17">
        <v>160.69999999999999</v>
      </c>
      <c r="R881" s="17">
        <f t="shared" si="40"/>
        <v>96.399999999999977</v>
      </c>
      <c r="S881" s="17">
        <v>135.5</v>
      </c>
      <c r="T881" s="17">
        <f t="shared" si="41"/>
        <v>78</v>
      </c>
    </row>
    <row r="882" spans="1:20" x14ac:dyDescent="0.35">
      <c r="A882" s="14" t="s">
        <v>101</v>
      </c>
      <c r="B882" s="15" t="s">
        <v>102</v>
      </c>
      <c r="C882" s="15" t="s">
        <v>64</v>
      </c>
      <c r="D882" s="15" t="s">
        <v>99</v>
      </c>
      <c r="E882" s="15" t="s">
        <v>91</v>
      </c>
      <c r="F882" s="15" t="s">
        <v>67</v>
      </c>
      <c r="G882" s="15" t="s">
        <v>73</v>
      </c>
      <c r="H882" s="15" t="s">
        <v>71</v>
      </c>
      <c r="I882" s="16">
        <v>15563</v>
      </c>
      <c r="J882" s="16">
        <v>12805</v>
      </c>
      <c r="K882" s="16">
        <v>15326</v>
      </c>
      <c r="L882" s="17">
        <v>121.2</v>
      </c>
      <c r="M882" s="17">
        <v>6.7</v>
      </c>
      <c r="N882" s="17">
        <f t="shared" si="39"/>
        <v>114.5</v>
      </c>
      <c r="O882" s="17">
        <v>89.1</v>
      </c>
      <c r="P882" s="17">
        <v>110.1</v>
      </c>
      <c r="Q882" s="17">
        <v>71.2</v>
      </c>
      <c r="R882" s="17">
        <f t="shared" si="40"/>
        <v>43.3</v>
      </c>
      <c r="S882" s="17">
        <v>56.1</v>
      </c>
      <c r="T882" s="17">
        <f t="shared" si="41"/>
        <v>32.999999999999993</v>
      </c>
    </row>
    <row r="883" spans="1:20" x14ac:dyDescent="0.35">
      <c r="A883" s="14" t="s">
        <v>101</v>
      </c>
      <c r="B883" s="15" t="s">
        <v>102</v>
      </c>
      <c r="C883" s="15" t="s">
        <v>64</v>
      </c>
      <c r="D883" s="15" t="s">
        <v>99</v>
      </c>
      <c r="E883" s="15" t="s">
        <v>91</v>
      </c>
      <c r="F883" s="15" t="s">
        <v>67</v>
      </c>
      <c r="G883" s="15" t="s">
        <v>73</v>
      </c>
      <c r="H883" s="15" t="s">
        <v>72</v>
      </c>
      <c r="I883" s="16">
        <v>9429</v>
      </c>
      <c r="J883" s="16">
        <v>7600</v>
      </c>
      <c r="K883" s="16">
        <v>9302</v>
      </c>
      <c r="L883" s="17">
        <v>98.5</v>
      </c>
      <c r="M883" s="17">
        <v>4.0999999999999996</v>
      </c>
      <c r="N883" s="17">
        <f t="shared" si="39"/>
        <v>94.4</v>
      </c>
      <c r="O883" s="17">
        <v>72.2</v>
      </c>
      <c r="P883" s="17">
        <v>91.2</v>
      </c>
      <c r="Q883" s="17">
        <v>59.6</v>
      </c>
      <c r="R883" s="17">
        <f t="shared" si="40"/>
        <v>34.800000000000004</v>
      </c>
      <c r="S883" s="17">
        <v>46.4</v>
      </c>
      <c r="T883" s="17">
        <f t="shared" si="41"/>
        <v>25.800000000000004</v>
      </c>
    </row>
    <row r="884" spans="1:20" x14ac:dyDescent="0.35">
      <c r="A884" s="14" t="s">
        <v>101</v>
      </c>
      <c r="B884" s="15" t="s">
        <v>102</v>
      </c>
      <c r="C884" s="15" t="s">
        <v>64</v>
      </c>
      <c r="D884" s="15" t="s">
        <v>99</v>
      </c>
      <c r="E884" s="15" t="s">
        <v>91</v>
      </c>
      <c r="F884" s="15" t="s">
        <v>67</v>
      </c>
      <c r="G884" s="15" t="s">
        <v>74</v>
      </c>
      <c r="H884" s="15" t="s">
        <v>70</v>
      </c>
      <c r="I884" s="16">
        <v>13139</v>
      </c>
      <c r="J884" s="16">
        <v>11431</v>
      </c>
      <c r="K884" s="16">
        <v>12928</v>
      </c>
      <c r="L884" s="17">
        <v>81</v>
      </c>
      <c r="M884" s="17">
        <v>4.2</v>
      </c>
      <c r="N884" s="17">
        <f t="shared" si="39"/>
        <v>76.8</v>
      </c>
      <c r="O884" s="17">
        <v>63.4</v>
      </c>
      <c r="P884" s="17">
        <v>74.900000000000006</v>
      </c>
      <c r="Q884" s="17">
        <v>42.7</v>
      </c>
      <c r="R884" s="17">
        <f t="shared" si="40"/>
        <v>34.099999999999994</v>
      </c>
      <c r="S884" s="17">
        <v>36</v>
      </c>
      <c r="T884" s="17">
        <f t="shared" si="41"/>
        <v>27.4</v>
      </c>
    </row>
    <row r="885" spans="1:20" x14ac:dyDescent="0.35">
      <c r="A885" s="14" t="s">
        <v>101</v>
      </c>
      <c r="B885" s="15" t="s">
        <v>102</v>
      </c>
      <c r="C885" s="15" t="s">
        <v>64</v>
      </c>
      <c r="D885" s="15" t="s">
        <v>99</v>
      </c>
      <c r="E885" s="15" t="s">
        <v>91</v>
      </c>
      <c r="F885" s="15" t="s">
        <v>67</v>
      </c>
      <c r="G885" s="15" t="s">
        <v>74</v>
      </c>
      <c r="H885" s="15" t="s">
        <v>71</v>
      </c>
      <c r="I885" s="16">
        <v>21805</v>
      </c>
      <c r="J885" s="16">
        <v>19267</v>
      </c>
      <c r="K885" s="16">
        <v>21361</v>
      </c>
      <c r="L885" s="17">
        <v>168.3</v>
      </c>
      <c r="M885" s="17">
        <v>7.5</v>
      </c>
      <c r="N885" s="17">
        <f t="shared" si="39"/>
        <v>160.80000000000001</v>
      </c>
      <c r="O885" s="17">
        <v>132.9</v>
      </c>
      <c r="P885" s="17">
        <v>156.9</v>
      </c>
      <c r="Q885" s="17">
        <v>98.5</v>
      </c>
      <c r="R885" s="17">
        <f t="shared" si="40"/>
        <v>62.300000000000011</v>
      </c>
      <c r="S885" s="17">
        <v>82</v>
      </c>
      <c r="T885" s="17">
        <f t="shared" si="41"/>
        <v>50.900000000000006</v>
      </c>
    </row>
    <row r="886" spans="1:20" x14ac:dyDescent="0.35">
      <c r="A886" s="14" t="s">
        <v>101</v>
      </c>
      <c r="B886" s="15" t="s">
        <v>102</v>
      </c>
      <c r="C886" s="15" t="s">
        <v>64</v>
      </c>
      <c r="D886" s="15" t="s">
        <v>99</v>
      </c>
      <c r="E886" s="15" t="s">
        <v>91</v>
      </c>
      <c r="F886" s="15" t="s">
        <v>67</v>
      </c>
      <c r="G886" s="15" t="s">
        <v>75</v>
      </c>
      <c r="H886" s="15" t="s">
        <v>71</v>
      </c>
      <c r="I886" s="16">
        <v>16684</v>
      </c>
      <c r="J886" s="16">
        <v>14782</v>
      </c>
      <c r="K886" s="16">
        <v>16390</v>
      </c>
      <c r="L886" s="17">
        <v>129.9</v>
      </c>
      <c r="M886" s="17">
        <v>6.9</v>
      </c>
      <c r="N886" s="17">
        <f t="shared" si="39"/>
        <v>123</v>
      </c>
      <c r="O886" s="17">
        <v>103.7</v>
      </c>
      <c r="P886" s="17">
        <v>118.7</v>
      </c>
      <c r="Q886" s="17">
        <v>76.599999999999994</v>
      </c>
      <c r="R886" s="17">
        <f t="shared" si="40"/>
        <v>46.400000000000006</v>
      </c>
      <c r="S886" s="17">
        <v>65.5</v>
      </c>
      <c r="T886" s="17">
        <f t="shared" si="41"/>
        <v>38.200000000000003</v>
      </c>
    </row>
    <row r="887" spans="1:20" x14ac:dyDescent="0.35">
      <c r="A887" s="14" t="s">
        <v>101</v>
      </c>
      <c r="B887" s="15" t="s">
        <v>102</v>
      </c>
      <c r="C887" s="15" t="s">
        <v>64</v>
      </c>
      <c r="D887" s="15" t="s">
        <v>99</v>
      </c>
      <c r="E887" s="15" t="s">
        <v>91</v>
      </c>
      <c r="F887" s="15" t="s">
        <v>67</v>
      </c>
      <c r="G887" s="15" t="s">
        <v>76</v>
      </c>
      <c r="H887" s="15" t="s">
        <v>72</v>
      </c>
      <c r="I887" s="16">
        <v>22270</v>
      </c>
      <c r="J887" s="16">
        <v>19527</v>
      </c>
      <c r="K887" s="16">
        <v>21806</v>
      </c>
      <c r="L887" s="17">
        <v>288.3</v>
      </c>
      <c r="M887" s="17">
        <v>16.600000000000001</v>
      </c>
      <c r="N887" s="17">
        <f t="shared" si="39"/>
        <v>271.7</v>
      </c>
      <c r="O887" s="17">
        <v>223.4</v>
      </c>
      <c r="P887" s="17">
        <v>263.60000000000002</v>
      </c>
      <c r="Q887" s="17">
        <v>165.7</v>
      </c>
      <c r="R887" s="17">
        <f t="shared" si="40"/>
        <v>106</v>
      </c>
      <c r="S887" s="17">
        <v>137.6</v>
      </c>
      <c r="T887" s="17">
        <f t="shared" si="41"/>
        <v>85.800000000000011</v>
      </c>
    </row>
    <row r="888" spans="1:20" x14ac:dyDescent="0.35">
      <c r="A888" s="14" t="s">
        <v>101</v>
      </c>
      <c r="B888" s="15" t="s">
        <v>102</v>
      </c>
      <c r="C888" s="15" t="s">
        <v>64</v>
      </c>
      <c r="D888" s="15" t="s">
        <v>99</v>
      </c>
      <c r="E888" s="15" t="s">
        <v>91</v>
      </c>
      <c r="F888" s="15" t="s">
        <v>79</v>
      </c>
      <c r="G888" s="15" t="s">
        <v>80</v>
      </c>
      <c r="H888" s="15" t="s">
        <v>71</v>
      </c>
      <c r="I888" s="16">
        <v>17236</v>
      </c>
      <c r="J888" s="16">
        <v>15137</v>
      </c>
      <c r="K888" s="16">
        <v>16887</v>
      </c>
      <c r="L888" s="17">
        <v>81.900000000000006</v>
      </c>
      <c r="M888" s="17">
        <v>3.9</v>
      </c>
      <c r="N888" s="17">
        <f t="shared" si="39"/>
        <v>78</v>
      </c>
      <c r="O888" s="17">
        <v>64.2</v>
      </c>
      <c r="P888" s="17">
        <v>75.599999999999994</v>
      </c>
      <c r="Q888" s="17">
        <v>46.3</v>
      </c>
      <c r="R888" s="17">
        <f t="shared" si="40"/>
        <v>31.700000000000003</v>
      </c>
      <c r="S888" s="17">
        <v>38.799999999999997</v>
      </c>
      <c r="T888" s="17">
        <f t="shared" si="41"/>
        <v>25.400000000000006</v>
      </c>
    </row>
    <row r="889" spans="1:20" x14ac:dyDescent="0.35">
      <c r="A889" s="14" t="s">
        <v>101</v>
      </c>
      <c r="B889" s="15" t="s">
        <v>102</v>
      </c>
      <c r="C889" s="15" t="s">
        <v>64</v>
      </c>
      <c r="D889" s="15" t="s">
        <v>99</v>
      </c>
      <c r="E889" s="15" t="s">
        <v>91</v>
      </c>
      <c r="F889" s="15" t="s">
        <v>81</v>
      </c>
      <c r="G889" s="15" t="s">
        <v>82</v>
      </c>
      <c r="H889" s="15" t="s">
        <v>71</v>
      </c>
      <c r="I889" s="16">
        <v>6041</v>
      </c>
      <c r="J889" s="16">
        <v>5225</v>
      </c>
      <c r="K889" s="16">
        <v>5929</v>
      </c>
      <c r="L889" s="17">
        <v>62.7</v>
      </c>
      <c r="M889" s="17">
        <v>3.2</v>
      </c>
      <c r="N889" s="17">
        <f t="shared" si="39"/>
        <v>59.5</v>
      </c>
      <c r="O889" s="17">
        <v>48.9</v>
      </c>
      <c r="P889" s="17">
        <v>57.4</v>
      </c>
      <c r="Q889" s="17">
        <v>37.700000000000003</v>
      </c>
      <c r="R889" s="17">
        <f t="shared" si="40"/>
        <v>21.799999999999997</v>
      </c>
      <c r="S889" s="17">
        <v>31.3</v>
      </c>
      <c r="T889" s="17">
        <f t="shared" si="41"/>
        <v>17.599999999999998</v>
      </c>
    </row>
    <row r="890" spans="1:20" x14ac:dyDescent="0.35">
      <c r="A890" s="14" t="s">
        <v>101</v>
      </c>
      <c r="B890" s="15" t="s">
        <v>102</v>
      </c>
      <c r="C890" s="15" t="s">
        <v>64</v>
      </c>
      <c r="D890" s="15" t="s">
        <v>99</v>
      </c>
      <c r="E890" s="15" t="s">
        <v>91</v>
      </c>
      <c r="F890" s="15" t="s">
        <v>83</v>
      </c>
      <c r="G890" s="15" t="s">
        <v>84</v>
      </c>
      <c r="H890" s="15" t="s">
        <v>72</v>
      </c>
      <c r="I890" s="16">
        <v>5607</v>
      </c>
      <c r="J890" s="16">
        <v>4385</v>
      </c>
      <c r="K890" s="16">
        <v>5518</v>
      </c>
      <c r="L890" s="17">
        <v>174.5</v>
      </c>
      <c r="M890" s="17">
        <v>7.6</v>
      </c>
      <c r="N890" s="17">
        <f t="shared" si="39"/>
        <v>166.9</v>
      </c>
      <c r="O890" s="17">
        <v>122.6</v>
      </c>
      <c r="P890" s="17">
        <v>161</v>
      </c>
      <c r="Q890" s="17">
        <v>95.1</v>
      </c>
      <c r="R890" s="17">
        <f t="shared" si="40"/>
        <v>71.800000000000011</v>
      </c>
      <c r="S890" s="17">
        <v>71.099999999999994</v>
      </c>
      <c r="T890" s="17">
        <f t="shared" si="41"/>
        <v>51.5</v>
      </c>
    </row>
    <row r="891" spans="1:20" x14ac:dyDescent="0.35">
      <c r="A891" s="14" t="s">
        <v>101</v>
      </c>
      <c r="B891" s="15" t="s">
        <v>102</v>
      </c>
      <c r="C891" s="15" t="s">
        <v>64</v>
      </c>
      <c r="D891" s="15" t="s">
        <v>99</v>
      </c>
      <c r="E891" s="15" t="s">
        <v>92</v>
      </c>
      <c r="F891" s="15" t="s">
        <v>67</v>
      </c>
      <c r="G891" s="15" t="s">
        <v>68</v>
      </c>
      <c r="H891" s="15" t="s">
        <v>69</v>
      </c>
      <c r="I891" s="16">
        <v>67442</v>
      </c>
      <c r="J891" s="16">
        <v>52624</v>
      </c>
      <c r="K891" s="16">
        <v>66170</v>
      </c>
      <c r="L891" s="17">
        <v>321.8</v>
      </c>
      <c r="M891" s="17">
        <v>22.6</v>
      </c>
      <c r="N891" s="17">
        <f t="shared" si="39"/>
        <v>299.2</v>
      </c>
      <c r="O891" s="17">
        <v>219.3</v>
      </c>
      <c r="P891" s="17">
        <v>289.60000000000002</v>
      </c>
      <c r="Q891" s="17">
        <v>164.2</v>
      </c>
      <c r="R891" s="17">
        <f t="shared" si="40"/>
        <v>135</v>
      </c>
      <c r="S891" s="17">
        <v>123.6</v>
      </c>
      <c r="T891" s="17">
        <f t="shared" si="41"/>
        <v>95.700000000000017</v>
      </c>
    </row>
    <row r="892" spans="1:20" x14ac:dyDescent="0.35">
      <c r="A892" s="14" t="s">
        <v>101</v>
      </c>
      <c r="B892" s="15" t="s">
        <v>102</v>
      </c>
      <c r="C892" s="15" t="s">
        <v>64</v>
      </c>
      <c r="D892" s="15" t="s">
        <v>99</v>
      </c>
      <c r="E892" s="15" t="s">
        <v>92</v>
      </c>
      <c r="F892" s="15" t="s">
        <v>67</v>
      </c>
      <c r="G892" s="15" t="s">
        <v>68</v>
      </c>
      <c r="H892" s="15" t="s">
        <v>70</v>
      </c>
      <c r="I892" s="16">
        <v>89965</v>
      </c>
      <c r="J892" s="16">
        <v>68247</v>
      </c>
      <c r="K892" s="16">
        <v>87768</v>
      </c>
      <c r="L892" s="17">
        <v>516.70000000000005</v>
      </c>
      <c r="M892" s="17">
        <v>37.9</v>
      </c>
      <c r="N892" s="17">
        <f t="shared" si="39"/>
        <v>478.80000000000007</v>
      </c>
      <c r="O892" s="17">
        <v>345</v>
      </c>
      <c r="P892" s="17">
        <v>469.4</v>
      </c>
      <c r="Q892" s="17">
        <v>274.60000000000002</v>
      </c>
      <c r="R892" s="17">
        <f t="shared" si="40"/>
        <v>204.20000000000005</v>
      </c>
      <c r="S892" s="17">
        <v>199.8</v>
      </c>
      <c r="T892" s="17">
        <f t="shared" si="41"/>
        <v>145.19999999999999</v>
      </c>
    </row>
    <row r="893" spans="1:20" x14ac:dyDescent="0.35">
      <c r="A893" s="14" t="s">
        <v>101</v>
      </c>
      <c r="B893" s="15" t="s">
        <v>102</v>
      </c>
      <c r="C893" s="15" t="s">
        <v>64</v>
      </c>
      <c r="D893" s="15" t="s">
        <v>99</v>
      </c>
      <c r="E893" s="15" t="s">
        <v>92</v>
      </c>
      <c r="F893" s="15" t="s">
        <v>67</v>
      </c>
      <c r="G893" s="15" t="s">
        <v>68</v>
      </c>
      <c r="H893" s="15" t="s">
        <v>71</v>
      </c>
      <c r="I893" s="16">
        <v>114296</v>
      </c>
      <c r="J893" s="16">
        <v>88845</v>
      </c>
      <c r="K893" s="16">
        <v>112751</v>
      </c>
      <c r="L893" s="17">
        <v>820.3</v>
      </c>
      <c r="M893" s="17">
        <v>70.5</v>
      </c>
      <c r="N893" s="17">
        <f t="shared" si="39"/>
        <v>749.8</v>
      </c>
      <c r="O893" s="17">
        <v>546.9</v>
      </c>
      <c r="P893" s="17">
        <v>732.8</v>
      </c>
      <c r="Q893" s="17">
        <v>464.2</v>
      </c>
      <c r="R893" s="17">
        <f t="shared" si="40"/>
        <v>285.59999999999997</v>
      </c>
      <c r="S893" s="17">
        <v>341.6</v>
      </c>
      <c r="T893" s="17">
        <f t="shared" si="41"/>
        <v>205.29999999999995</v>
      </c>
    </row>
    <row r="894" spans="1:20" x14ac:dyDescent="0.35">
      <c r="A894" s="14" t="s">
        <v>101</v>
      </c>
      <c r="B894" s="15" t="s">
        <v>102</v>
      </c>
      <c r="C894" s="15" t="s">
        <v>64</v>
      </c>
      <c r="D894" s="15" t="s">
        <v>99</v>
      </c>
      <c r="E894" s="15" t="s">
        <v>92</v>
      </c>
      <c r="F894" s="15" t="s">
        <v>67</v>
      </c>
      <c r="G894" s="15" t="s">
        <v>68</v>
      </c>
      <c r="H894" s="15" t="s">
        <v>72</v>
      </c>
      <c r="I894" s="16">
        <v>27547</v>
      </c>
      <c r="J894" s="16">
        <v>20905</v>
      </c>
      <c r="K894" s="16">
        <v>27182</v>
      </c>
      <c r="L894" s="17">
        <v>275.39999999999998</v>
      </c>
      <c r="M894" s="17">
        <v>23.6</v>
      </c>
      <c r="N894" s="17">
        <f t="shared" si="39"/>
        <v>251.79999999999998</v>
      </c>
      <c r="O894" s="17">
        <v>178.9</v>
      </c>
      <c r="P894" s="17">
        <v>246.5</v>
      </c>
      <c r="Q894" s="17">
        <v>161.6</v>
      </c>
      <c r="R894" s="17">
        <f t="shared" si="40"/>
        <v>90.199999999999989</v>
      </c>
      <c r="S894" s="17">
        <v>116</v>
      </c>
      <c r="T894" s="17">
        <f t="shared" si="41"/>
        <v>62.900000000000006</v>
      </c>
    </row>
    <row r="895" spans="1:20" x14ac:dyDescent="0.35">
      <c r="A895" s="14" t="s">
        <v>101</v>
      </c>
      <c r="B895" s="15" t="s">
        <v>102</v>
      </c>
      <c r="C895" s="15" t="s">
        <v>64</v>
      </c>
      <c r="D895" s="15" t="s">
        <v>99</v>
      </c>
      <c r="E895" s="15" t="s">
        <v>92</v>
      </c>
      <c r="F895" s="15" t="s">
        <v>67</v>
      </c>
      <c r="G895" s="15" t="s">
        <v>73</v>
      </c>
      <c r="H895" s="15" t="s">
        <v>71</v>
      </c>
      <c r="I895" s="16">
        <v>25044</v>
      </c>
      <c r="J895" s="16">
        <v>17824</v>
      </c>
      <c r="K895" s="16">
        <v>24512</v>
      </c>
      <c r="L895" s="17">
        <v>177.4</v>
      </c>
      <c r="M895" s="17">
        <v>15.7</v>
      </c>
      <c r="N895" s="17">
        <f t="shared" si="39"/>
        <v>161.70000000000002</v>
      </c>
      <c r="O895" s="17">
        <v>109</v>
      </c>
      <c r="P895" s="17">
        <v>157.6</v>
      </c>
      <c r="Q895" s="17">
        <v>101.7</v>
      </c>
      <c r="R895" s="17">
        <f t="shared" si="40"/>
        <v>60.000000000000014</v>
      </c>
      <c r="S895" s="17">
        <v>69.2</v>
      </c>
      <c r="T895" s="17">
        <f t="shared" si="41"/>
        <v>39.799999999999997</v>
      </c>
    </row>
    <row r="896" spans="1:20" x14ac:dyDescent="0.35">
      <c r="A896" s="14" t="s">
        <v>101</v>
      </c>
      <c r="B896" s="15" t="s">
        <v>102</v>
      </c>
      <c r="C896" s="15" t="s">
        <v>64</v>
      </c>
      <c r="D896" s="15" t="s">
        <v>99</v>
      </c>
      <c r="E896" s="15" t="s">
        <v>92</v>
      </c>
      <c r="F896" s="15" t="s">
        <v>67</v>
      </c>
      <c r="G896" s="15" t="s">
        <v>73</v>
      </c>
      <c r="H896" s="15" t="s">
        <v>72</v>
      </c>
      <c r="I896" s="16">
        <v>9374</v>
      </c>
      <c r="J896" s="16">
        <v>6569</v>
      </c>
      <c r="K896" s="16">
        <v>9257</v>
      </c>
      <c r="L896" s="17">
        <v>88.4</v>
      </c>
      <c r="M896" s="17">
        <v>6.8</v>
      </c>
      <c r="N896" s="17">
        <f t="shared" si="39"/>
        <v>81.600000000000009</v>
      </c>
      <c r="O896" s="17">
        <v>53.6</v>
      </c>
      <c r="P896" s="17">
        <v>78.8</v>
      </c>
      <c r="Q896" s="17">
        <v>51.1</v>
      </c>
      <c r="R896" s="17">
        <f t="shared" si="40"/>
        <v>30.500000000000007</v>
      </c>
      <c r="S896" s="17">
        <v>34.200000000000003</v>
      </c>
      <c r="T896" s="17">
        <f t="shared" si="41"/>
        <v>19.399999999999999</v>
      </c>
    </row>
    <row r="897" spans="1:20" x14ac:dyDescent="0.35">
      <c r="A897" s="14" t="s">
        <v>101</v>
      </c>
      <c r="B897" s="15" t="s">
        <v>102</v>
      </c>
      <c r="C897" s="15" t="s">
        <v>64</v>
      </c>
      <c r="D897" s="15" t="s">
        <v>99</v>
      </c>
      <c r="E897" s="15" t="s">
        <v>92</v>
      </c>
      <c r="F897" s="15" t="s">
        <v>67</v>
      </c>
      <c r="G897" s="15" t="s">
        <v>74</v>
      </c>
      <c r="H897" s="15" t="s">
        <v>70</v>
      </c>
      <c r="I897" s="16">
        <v>40148</v>
      </c>
      <c r="J897" s="16">
        <v>29939</v>
      </c>
      <c r="K897" s="16">
        <v>39337</v>
      </c>
      <c r="L897" s="17">
        <v>228.3</v>
      </c>
      <c r="M897" s="17">
        <v>19.5</v>
      </c>
      <c r="N897" s="17">
        <f t="shared" si="39"/>
        <v>208.8</v>
      </c>
      <c r="O897" s="17">
        <v>147.30000000000001</v>
      </c>
      <c r="P897" s="17">
        <v>202.8</v>
      </c>
      <c r="Q897" s="17">
        <v>116.2</v>
      </c>
      <c r="R897" s="17">
        <f t="shared" si="40"/>
        <v>92.600000000000009</v>
      </c>
      <c r="S897" s="17">
        <v>83.7</v>
      </c>
      <c r="T897" s="17">
        <f t="shared" si="41"/>
        <v>63.600000000000009</v>
      </c>
    </row>
    <row r="898" spans="1:20" x14ac:dyDescent="0.35">
      <c r="A898" s="14" t="s">
        <v>101</v>
      </c>
      <c r="B898" s="15" t="s">
        <v>102</v>
      </c>
      <c r="C898" s="15" t="s">
        <v>64</v>
      </c>
      <c r="D898" s="15" t="s">
        <v>99</v>
      </c>
      <c r="E898" s="15" t="s">
        <v>92</v>
      </c>
      <c r="F898" s="15" t="s">
        <v>67</v>
      </c>
      <c r="G898" s="15" t="s">
        <v>74</v>
      </c>
      <c r="H898" s="15" t="s">
        <v>71</v>
      </c>
      <c r="I898" s="16">
        <v>40778</v>
      </c>
      <c r="J898" s="16">
        <v>30909</v>
      </c>
      <c r="K898" s="16">
        <v>40046</v>
      </c>
      <c r="L898" s="17">
        <v>289.8</v>
      </c>
      <c r="M898" s="17">
        <v>25.7</v>
      </c>
      <c r="N898" s="17">
        <f t="shared" si="39"/>
        <v>264.10000000000002</v>
      </c>
      <c r="O898" s="17">
        <v>188.5</v>
      </c>
      <c r="P898" s="17">
        <v>256.8</v>
      </c>
      <c r="Q898" s="17">
        <v>160</v>
      </c>
      <c r="R898" s="17">
        <f t="shared" si="40"/>
        <v>104.10000000000002</v>
      </c>
      <c r="S898" s="17">
        <v>116</v>
      </c>
      <c r="T898" s="17">
        <f t="shared" si="41"/>
        <v>72.5</v>
      </c>
    </row>
    <row r="899" spans="1:20" x14ac:dyDescent="0.35">
      <c r="A899" s="14" t="s">
        <v>101</v>
      </c>
      <c r="B899" s="15" t="s">
        <v>102</v>
      </c>
      <c r="C899" s="15" t="s">
        <v>64</v>
      </c>
      <c r="D899" s="15" t="s">
        <v>99</v>
      </c>
      <c r="E899" s="15" t="s">
        <v>92</v>
      </c>
      <c r="F899" s="15" t="s">
        <v>67</v>
      </c>
      <c r="G899" s="15" t="s">
        <v>75</v>
      </c>
      <c r="H899" s="15" t="s">
        <v>71</v>
      </c>
      <c r="I899" s="16">
        <v>32227</v>
      </c>
      <c r="J899" s="16">
        <v>24751</v>
      </c>
      <c r="K899" s="16">
        <v>31772</v>
      </c>
      <c r="L899" s="17">
        <v>219.3</v>
      </c>
      <c r="M899" s="17">
        <v>15.7</v>
      </c>
      <c r="N899" s="17">
        <f t="shared" si="39"/>
        <v>203.60000000000002</v>
      </c>
      <c r="O899" s="17">
        <v>148</v>
      </c>
      <c r="P899" s="17">
        <v>198.8</v>
      </c>
      <c r="Q899" s="17">
        <v>127.9</v>
      </c>
      <c r="R899" s="17">
        <f t="shared" si="40"/>
        <v>75.700000000000017</v>
      </c>
      <c r="S899" s="17">
        <v>94.7</v>
      </c>
      <c r="T899" s="17">
        <f t="shared" si="41"/>
        <v>53.3</v>
      </c>
    </row>
    <row r="900" spans="1:20" x14ac:dyDescent="0.35">
      <c r="A900" s="14" t="s">
        <v>101</v>
      </c>
      <c r="B900" s="15" t="s">
        <v>102</v>
      </c>
      <c r="C900" s="15" t="s">
        <v>64</v>
      </c>
      <c r="D900" s="15" t="s">
        <v>99</v>
      </c>
      <c r="E900" s="15" t="s">
        <v>92</v>
      </c>
      <c r="F900" s="15" t="s">
        <v>67</v>
      </c>
      <c r="G900" s="15" t="s">
        <v>76</v>
      </c>
      <c r="H900" s="15" t="s">
        <v>72</v>
      </c>
      <c r="I900" s="16">
        <v>6530</v>
      </c>
      <c r="J900" s="16">
        <v>4886</v>
      </c>
      <c r="K900" s="16">
        <v>6401</v>
      </c>
      <c r="L900" s="17">
        <v>77.400000000000006</v>
      </c>
      <c r="M900" s="17">
        <v>5.6</v>
      </c>
      <c r="N900" s="17">
        <f t="shared" ref="N900:N963" si="42">L900-M900</f>
        <v>71.800000000000011</v>
      </c>
      <c r="O900" s="17">
        <v>50.8</v>
      </c>
      <c r="P900" s="17">
        <v>69.099999999999994</v>
      </c>
      <c r="Q900" s="17">
        <v>44.2</v>
      </c>
      <c r="R900" s="17">
        <f t="shared" ref="R900:R963" si="43">N900-Q900</f>
        <v>27.600000000000009</v>
      </c>
      <c r="S900" s="17">
        <v>31.7</v>
      </c>
      <c r="T900" s="17">
        <f t="shared" ref="T900:T963" si="44">O900-S900</f>
        <v>19.099999999999998</v>
      </c>
    </row>
    <row r="901" spans="1:20" x14ac:dyDescent="0.35">
      <c r="A901" s="14" t="s">
        <v>101</v>
      </c>
      <c r="B901" s="15" t="s">
        <v>102</v>
      </c>
      <c r="C901" s="15" t="s">
        <v>64</v>
      </c>
      <c r="D901" s="15" t="s">
        <v>99</v>
      </c>
      <c r="E901" s="15" t="s">
        <v>92</v>
      </c>
      <c r="F901" s="15" t="s">
        <v>79</v>
      </c>
      <c r="G901" s="15" t="s">
        <v>80</v>
      </c>
      <c r="H901" s="15" t="s">
        <v>71</v>
      </c>
      <c r="I901" s="16">
        <v>32929</v>
      </c>
      <c r="J901" s="16">
        <v>24487</v>
      </c>
      <c r="K901" s="16">
        <v>32361</v>
      </c>
      <c r="L901" s="17">
        <v>144.6</v>
      </c>
      <c r="M901" s="17">
        <v>10.3</v>
      </c>
      <c r="N901" s="17">
        <f t="shared" si="42"/>
        <v>134.29999999999998</v>
      </c>
      <c r="O901" s="17">
        <v>93.9</v>
      </c>
      <c r="P901" s="17">
        <v>130.5</v>
      </c>
      <c r="Q901" s="17">
        <v>78.900000000000006</v>
      </c>
      <c r="R901" s="17">
        <f t="shared" si="43"/>
        <v>55.399999999999977</v>
      </c>
      <c r="S901" s="17">
        <v>55.9</v>
      </c>
      <c r="T901" s="17">
        <f t="shared" si="44"/>
        <v>38.000000000000007</v>
      </c>
    </row>
    <row r="902" spans="1:20" x14ac:dyDescent="0.35">
      <c r="A902" s="14" t="s">
        <v>101</v>
      </c>
      <c r="B902" s="15" t="s">
        <v>102</v>
      </c>
      <c r="C902" s="15" t="s">
        <v>64</v>
      </c>
      <c r="D902" s="15" t="s">
        <v>99</v>
      </c>
      <c r="E902" s="15" t="s">
        <v>92</v>
      </c>
      <c r="F902" s="15" t="s">
        <v>81</v>
      </c>
      <c r="G902" s="15" t="s">
        <v>82</v>
      </c>
      <c r="H902" s="15" t="s">
        <v>71</v>
      </c>
      <c r="I902" s="16">
        <v>11156</v>
      </c>
      <c r="J902" s="16">
        <v>8273</v>
      </c>
      <c r="K902" s="16">
        <v>10859</v>
      </c>
      <c r="L902" s="17">
        <v>101</v>
      </c>
      <c r="M902" s="17">
        <v>7.5</v>
      </c>
      <c r="N902" s="17">
        <f t="shared" si="42"/>
        <v>93.5</v>
      </c>
      <c r="O902" s="17">
        <v>65.599999999999994</v>
      </c>
      <c r="P902" s="17">
        <v>90.1</v>
      </c>
      <c r="Q902" s="17">
        <v>56.8</v>
      </c>
      <c r="R902" s="17">
        <f t="shared" si="43"/>
        <v>36.700000000000003</v>
      </c>
      <c r="S902" s="17">
        <v>40.5</v>
      </c>
      <c r="T902" s="17">
        <f t="shared" si="44"/>
        <v>25.099999999999994</v>
      </c>
    </row>
    <row r="903" spans="1:20" x14ac:dyDescent="0.35">
      <c r="A903" s="14" t="s">
        <v>101</v>
      </c>
      <c r="B903" s="15" t="s">
        <v>102</v>
      </c>
      <c r="C903" s="15" t="s">
        <v>64</v>
      </c>
      <c r="D903" s="15" t="s">
        <v>99</v>
      </c>
      <c r="E903" s="15" t="s">
        <v>92</v>
      </c>
      <c r="F903" s="15" t="s">
        <v>83</v>
      </c>
      <c r="G903" s="15" t="s">
        <v>84</v>
      </c>
      <c r="H903" s="15" t="s">
        <v>72</v>
      </c>
      <c r="I903" s="16">
        <v>4764</v>
      </c>
      <c r="J903" s="16">
        <v>3269</v>
      </c>
      <c r="K903" s="16">
        <v>4656</v>
      </c>
      <c r="L903" s="17">
        <v>139.80000000000001</v>
      </c>
      <c r="M903" s="17">
        <v>11.1</v>
      </c>
      <c r="N903" s="17">
        <f t="shared" si="42"/>
        <v>128.70000000000002</v>
      </c>
      <c r="O903" s="17">
        <v>82.6</v>
      </c>
      <c r="P903" s="17">
        <v>125.1</v>
      </c>
      <c r="Q903" s="17">
        <v>75.599999999999994</v>
      </c>
      <c r="R903" s="17">
        <f t="shared" si="43"/>
        <v>53.100000000000023</v>
      </c>
      <c r="S903" s="17">
        <v>49.4</v>
      </c>
      <c r="T903" s="17">
        <f t="shared" si="44"/>
        <v>33.199999999999996</v>
      </c>
    </row>
    <row r="904" spans="1:20" x14ac:dyDescent="0.35">
      <c r="A904" s="14" t="s">
        <v>101</v>
      </c>
      <c r="B904" s="15" t="s">
        <v>102</v>
      </c>
      <c r="C904" s="15" t="s">
        <v>64</v>
      </c>
      <c r="D904" s="15" t="s">
        <v>100</v>
      </c>
      <c r="E904" s="15" t="s">
        <v>66</v>
      </c>
      <c r="F904" s="15" t="s">
        <v>67</v>
      </c>
      <c r="G904" s="15" t="s">
        <v>68</v>
      </c>
      <c r="H904" s="15" t="s">
        <v>69</v>
      </c>
      <c r="I904" s="16">
        <v>17536</v>
      </c>
      <c r="J904" s="16">
        <v>16430</v>
      </c>
      <c r="K904" s="16">
        <v>17312</v>
      </c>
      <c r="L904" s="17">
        <v>113.1</v>
      </c>
      <c r="M904" s="17">
        <v>16.899999999999999</v>
      </c>
      <c r="N904" s="17">
        <f t="shared" si="42"/>
        <v>96.199999999999989</v>
      </c>
      <c r="O904" s="17">
        <v>86.7</v>
      </c>
      <c r="P904" s="17">
        <v>94.4</v>
      </c>
      <c r="Q904" s="17">
        <v>54.2</v>
      </c>
      <c r="R904" s="17">
        <f t="shared" si="43"/>
        <v>41.999999999999986</v>
      </c>
      <c r="S904" s="17">
        <v>50.1</v>
      </c>
      <c r="T904" s="17">
        <f t="shared" si="44"/>
        <v>36.6</v>
      </c>
    </row>
    <row r="905" spans="1:20" x14ac:dyDescent="0.35">
      <c r="A905" s="14" t="s">
        <v>101</v>
      </c>
      <c r="B905" s="15" t="s">
        <v>102</v>
      </c>
      <c r="C905" s="15" t="s">
        <v>64</v>
      </c>
      <c r="D905" s="15" t="s">
        <v>100</v>
      </c>
      <c r="E905" s="15" t="s">
        <v>66</v>
      </c>
      <c r="F905" s="15" t="s">
        <v>67</v>
      </c>
      <c r="G905" s="15" t="s">
        <v>68</v>
      </c>
      <c r="H905" s="15" t="s">
        <v>70</v>
      </c>
      <c r="I905" s="16">
        <v>45153</v>
      </c>
      <c r="J905" s="16">
        <v>41741</v>
      </c>
      <c r="K905" s="16">
        <v>44701</v>
      </c>
      <c r="L905" s="17">
        <v>347.4</v>
      </c>
      <c r="M905" s="17">
        <v>47.1</v>
      </c>
      <c r="N905" s="17">
        <f t="shared" si="42"/>
        <v>300.29999999999995</v>
      </c>
      <c r="O905" s="17">
        <v>265.7</v>
      </c>
      <c r="P905" s="17">
        <v>294</v>
      </c>
      <c r="Q905" s="17">
        <v>168</v>
      </c>
      <c r="R905" s="17">
        <f t="shared" si="43"/>
        <v>132.29999999999995</v>
      </c>
      <c r="S905" s="17">
        <v>151.4</v>
      </c>
      <c r="T905" s="17">
        <f t="shared" si="44"/>
        <v>114.29999999999998</v>
      </c>
    </row>
    <row r="906" spans="1:20" x14ac:dyDescent="0.35">
      <c r="A906" s="14" t="s">
        <v>101</v>
      </c>
      <c r="B906" s="15" t="s">
        <v>102</v>
      </c>
      <c r="C906" s="15" t="s">
        <v>64</v>
      </c>
      <c r="D906" s="15" t="s">
        <v>100</v>
      </c>
      <c r="E906" s="15" t="s">
        <v>66</v>
      </c>
      <c r="F906" s="15" t="s">
        <v>67</v>
      </c>
      <c r="G906" s="15" t="s">
        <v>68</v>
      </c>
      <c r="H906" s="15" t="s">
        <v>71</v>
      </c>
      <c r="I906" s="16">
        <v>92136</v>
      </c>
      <c r="J906" s="16">
        <v>85492</v>
      </c>
      <c r="K906" s="16">
        <v>90353</v>
      </c>
      <c r="L906" s="17">
        <v>872.6</v>
      </c>
      <c r="M906" s="17">
        <v>115.7</v>
      </c>
      <c r="N906" s="17">
        <f t="shared" si="42"/>
        <v>756.9</v>
      </c>
      <c r="O906" s="17">
        <v>675.3</v>
      </c>
      <c r="P906" s="17">
        <v>739.1</v>
      </c>
      <c r="Q906" s="17">
        <v>470.3</v>
      </c>
      <c r="R906" s="17">
        <f t="shared" si="43"/>
        <v>286.59999999999997</v>
      </c>
      <c r="S906" s="17">
        <v>424.8</v>
      </c>
      <c r="T906" s="17">
        <f t="shared" si="44"/>
        <v>250.49999999999994</v>
      </c>
    </row>
    <row r="907" spans="1:20" x14ac:dyDescent="0.35">
      <c r="A907" s="14" t="s">
        <v>101</v>
      </c>
      <c r="B907" s="15" t="s">
        <v>102</v>
      </c>
      <c r="C907" s="15" t="s">
        <v>64</v>
      </c>
      <c r="D907" s="15" t="s">
        <v>100</v>
      </c>
      <c r="E907" s="15" t="s">
        <v>66</v>
      </c>
      <c r="F907" s="15" t="s">
        <v>67</v>
      </c>
      <c r="G907" s="15" t="s">
        <v>68</v>
      </c>
      <c r="H907" s="15" t="s">
        <v>72</v>
      </c>
      <c r="I907" s="16">
        <v>33197</v>
      </c>
      <c r="J907" s="16">
        <v>30916</v>
      </c>
      <c r="K907" s="16">
        <v>32934</v>
      </c>
      <c r="L907" s="17">
        <v>429.3</v>
      </c>
      <c r="M907" s="17">
        <v>58</v>
      </c>
      <c r="N907" s="17">
        <f t="shared" si="42"/>
        <v>371.3</v>
      </c>
      <c r="O907" s="17">
        <v>332.4</v>
      </c>
      <c r="P907" s="17">
        <v>362.4</v>
      </c>
      <c r="Q907" s="17">
        <v>242.2</v>
      </c>
      <c r="R907" s="17">
        <f t="shared" si="43"/>
        <v>129.10000000000002</v>
      </c>
      <c r="S907" s="17">
        <v>221.2</v>
      </c>
      <c r="T907" s="17">
        <f t="shared" si="44"/>
        <v>111.19999999999999</v>
      </c>
    </row>
    <row r="908" spans="1:20" x14ac:dyDescent="0.35">
      <c r="A908" s="14" t="s">
        <v>101</v>
      </c>
      <c r="B908" s="15" t="s">
        <v>102</v>
      </c>
      <c r="C908" s="15" t="s">
        <v>64</v>
      </c>
      <c r="D908" s="15" t="s">
        <v>100</v>
      </c>
      <c r="E908" s="15" t="s">
        <v>66</v>
      </c>
      <c r="F908" s="15" t="s">
        <v>67</v>
      </c>
      <c r="G908" s="15" t="s">
        <v>73</v>
      </c>
      <c r="H908" s="15" t="s">
        <v>71</v>
      </c>
      <c r="I908" s="16">
        <v>22117</v>
      </c>
      <c r="J908" s="16">
        <v>18983</v>
      </c>
      <c r="K908" s="16">
        <v>21680</v>
      </c>
      <c r="L908" s="17">
        <v>208.5</v>
      </c>
      <c r="M908" s="17">
        <v>28.3</v>
      </c>
      <c r="N908" s="17">
        <f t="shared" si="42"/>
        <v>180.2</v>
      </c>
      <c r="O908" s="17">
        <v>147.19999999999999</v>
      </c>
      <c r="P908" s="17">
        <v>175.1</v>
      </c>
      <c r="Q908" s="17">
        <v>112.1</v>
      </c>
      <c r="R908" s="17">
        <f t="shared" si="43"/>
        <v>68.099999999999994</v>
      </c>
      <c r="S908" s="17">
        <v>93.6</v>
      </c>
      <c r="T908" s="17">
        <f t="shared" si="44"/>
        <v>53.599999999999994</v>
      </c>
    </row>
    <row r="909" spans="1:20" x14ac:dyDescent="0.35">
      <c r="A909" s="14" t="s">
        <v>101</v>
      </c>
      <c r="B909" s="15" t="s">
        <v>102</v>
      </c>
      <c r="C909" s="15" t="s">
        <v>64</v>
      </c>
      <c r="D909" s="15" t="s">
        <v>100</v>
      </c>
      <c r="E909" s="15" t="s">
        <v>66</v>
      </c>
      <c r="F909" s="15" t="s">
        <v>67</v>
      </c>
      <c r="G909" s="15" t="s">
        <v>73</v>
      </c>
      <c r="H909" s="15" t="s">
        <v>72</v>
      </c>
      <c r="I909" s="16">
        <v>11823</v>
      </c>
      <c r="J909" s="16">
        <v>9878</v>
      </c>
      <c r="K909" s="16">
        <v>11635</v>
      </c>
      <c r="L909" s="17">
        <v>152.19999999999999</v>
      </c>
      <c r="M909" s="17">
        <v>21</v>
      </c>
      <c r="N909" s="17">
        <f t="shared" si="42"/>
        <v>131.19999999999999</v>
      </c>
      <c r="O909" s="17">
        <v>104.8</v>
      </c>
      <c r="P909" s="17">
        <v>128.69999999999999</v>
      </c>
      <c r="Q909" s="17">
        <v>85</v>
      </c>
      <c r="R909" s="17">
        <f t="shared" si="43"/>
        <v>46.199999999999989</v>
      </c>
      <c r="S909" s="17">
        <v>68.8</v>
      </c>
      <c r="T909" s="17">
        <f t="shared" si="44"/>
        <v>36</v>
      </c>
    </row>
    <row r="910" spans="1:20" x14ac:dyDescent="0.35">
      <c r="A910" s="14" t="s">
        <v>101</v>
      </c>
      <c r="B910" s="15" t="s">
        <v>102</v>
      </c>
      <c r="C910" s="15" t="s">
        <v>64</v>
      </c>
      <c r="D910" s="15" t="s">
        <v>100</v>
      </c>
      <c r="E910" s="15" t="s">
        <v>66</v>
      </c>
      <c r="F910" s="15" t="s">
        <v>67</v>
      </c>
      <c r="G910" s="15" t="s">
        <v>74</v>
      </c>
      <c r="H910" s="15" t="s">
        <v>70</v>
      </c>
      <c r="I910" s="16">
        <v>16324</v>
      </c>
      <c r="J910" s="16">
        <v>14880</v>
      </c>
      <c r="K910" s="16">
        <v>16009</v>
      </c>
      <c r="L910" s="17">
        <v>122.8</v>
      </c>
      <c r="M910" s="17">
        <v>17.5</v>
      </c>
      <c r="N910" s="17">
        <f t="shared" si="42"/>
        <v>105.3</v>
      </c>
      <c r="O910" s="17">
        <v>91.8</v>
      </c>
      <c r="P910" s="17">
        <v>102.1</v>
      </c>
      <c r="Q910" s="17">
        <v>59.5</v>
      </c>
      <c r="R910" s="17">
        <f t="shared" si="43"/>
        <v>45.8</v>
      </c>
      <c r="S910" s="17">
        <v>53.2</v>
      </c>
      <c r="T910" s="17">
        <f t="shared" si="44"/>
        <v>38.599999999999994</v>
      </c>
    </row>
    <row r="911" spans="1:20" x14ac:dyDescent="0.35">
      <c r="A911" s="14" t="s">
        <v>101</v>
      </c>
      <c r="B911" s="15" t="s">
        <v>102</v>
      </c>
      <c r="C911" s="15" t="s">
        <v>64</v>
      </c>
      <c r="D911" s="15" t="s">
        <v>100</v>
      </c>
      <c r="E911" s="15" t="s">
        <v>66</v>
      </c>
      <c r="F911" s="15" t="s">
        <v>67</v>
      </c>
      <c r="G911" s="15" t="s">
        <v>74</v>
      </c>
      <c r="H911" s="15" t="s">
        <v>71</v>
      </c>
      <c r="I911" s="16">
        <v>39913</v>
      </c>
      <c r="J911" s="16">
        <v>36974</v>
      </c>
      <c r="K911" s="16">
        <v>39300</v>
      </c>
      <c r="L911" s="17">
        <v>368.6</v>
      </c>
      <c r="M911" s="17">
        <v>54.4</v>
      </c>
      <c r="N911" s="17">
        <f t="shared" si="42"/>
        <v>314.20000000000005</v>
      </c>
      <c r="O911" s="17">
        <v>277.2</v>
      </c>
      <c r="P911" s="17">
        <v>309.60000000000002</v>
      </c>
      <c r="Q911" s="17">
        <v>196.3</v>
      </c>
      <c r="R911" s="17">
        <f t="shared" si="43"/>
        <v>117.90000000000003</v>
      </c>
      <c r="S911" s="17">
        <v>175.6</v>
      </c>
      <c r="T911" s="17">
        <f t="shared" si="44"/>
        <v>101.6</v>
      </c>
    </row>
    <row r="912" spans="1:20" x14ac:dyDescent="0.35">
      <c r="A912" s="14" t="s">
        <v>101</v>
      </c>
      <c r="B912" s="15" t="s">
        <v>102</v>
      </c>
      <c r="C912" s="15" t="s">
        <v>64</v>
      </c>
      <c r="D912" s="15" t="s">
        <v>100</v>
      </c>
      <c r="E912" s="15" t="s">
        <v>66</v>
      </c>
      <c r="F912" s="15" t="s">
        <v>67</v>
      </c>
      <c r="G912" s="15" t="s">
        <v>75</v>
      </c>
      <c r="H912" s="15" t="s">
        <v>71</v>
      </c>
      <c r="I912" s="16">
        <v>27556</v>
      </c>
      <c r="J912" s="16">
        <v>25361</v>
      </c>
      <c r="K912" s="16">
        <v>27337</v>
      </c>
      <c r="L912" s="17">
        <v>248</v>
      </c>
      <c r="M912" s="17">
        <v>33.299999999999997</v>
      </c>
      <c r="N912" s="17">
        <f t="shared" si="42"/>
        <v>214.7</v>
      </c>
      <c r="O912" s="17">
        <v>187.6</v>
      </c>
      <c r="P912" s="17">
        <v>211.2</v>
      </c>
      <c r="Q912" s="17">
        <v>135.1</v>
      </c>
      <c r="R912" s="17">
        <f t="shared" si="43"/>
        <v>79.599999999999994</v>
      </c>
      <c r="S912" s="17">
        <v>120.4</v>
      </c>
      <c r="T912" s="17">
        <f t="shared" si="44"/>
        <v>67.199999999999989</v>
      </c>
    </row>
    <row r="913" spans="1:20" x14ac:dyDescent="0.35">
      <c r="A913" s="14" t="s">
        <v>101</v>
      </c>
      <c r="B913" s="15" t="s">
        <v>102</v>
      </c>
      <c r="C913" s="15" t="s">
        <v>64</v>
      </c>
      <c r="D913" s="15" t="s">
        <v>100</v>
      </c>
      <c r="E913" s="15" t="s">
        <v>66</v>
      </c>
      <c r="F913" s="15" t="s">
        <v>67</v>
      </c>
      <c r="G913" s="15" t="s">
        <v>76</v>
      </c>
      <c r="H913" s="15" t="s">
        <v>72</v>
      </c>
      <c r="I913" s="16">
        <v>8559</v>
      </c>
      <c r="J913" s="16">
        <v>7706</v>
      </c>
      <c r="K913" s="16">
        <v>8471</v>
      </c>
      <c r="L913" s="17">
        <v>133.19999999999999</v>
      </c>
      <c r="M913" s="17">
        <v>19.100000000000001</v>
      </c>
      <c r="N913" s="17">
        <f t="shared" si="42"/>
        <v>114.1</v>
      </c>
      <c r="O913" s="17">
        <v>98.5</v>
      </c>
      <c r="P913" s="17">
        <v>111.8</v>
      </c>
      <c r="Q913" s="17">
        <v>70.8</v>
      </c>
      <c r="R913" s="17">
        <f t="shared" si="43"/>
        <v>43.3</v>
      </c>
      <c r="S913" s="17">
        <v>62.3</v>
      </c>
      <c r="T913" s="17">
        <f t="shared" si="44"/>
        <v>36.200000000000003</v>
      </c>
    </row>
    <row r="914" spans="1:20" x14ac:dyDescent="0.35">
      <c r="A914" s="14" t="s">
        <v>101</v>
      </c>
      <c r="B914" s="15" t="s">
        <v>102</v>
      </c>
      <c r="C914" s="15" t="s">
        <v>64</v>
      </c>
      <c r="D914" s="15" t="s">
        <v>100</v>
      </c>
      <c r="E914" s="15" t="s">
        <v>66</v>
      </c>
      <c r="F914" s="15" t="s">
        <v>67</v>
      </c>
      <c r="G914" s="15" t="s">
        <v>77</v>
      </c>
      <c r="H914" s="15" t="s">
        <v>71</v>
      </c>
      <c r="I914" s="16">
        <v>16078</v>
      </c>
      <c r="J914" s="16">
        <v>14800</v>
      </c>
      <c r="K914" s="16">
        <v>15835</v>
      </c>
      <c r="L914" s="17">
        <v>151.6</v>
      </c>
      <c r="M914" s="17">
        <v>19.899999999999999</v>
      </c>
      <c r="N914" s="17">
        <f t="shared" si="42"/>
        <v>131.69999999999999</v>
      </c>
      <c r="O914" s="17">
        <v>115</v>
      </c>
      <c r="P914" s="17">
        <v>129.1</v>
      </c>
      <c r="Q914" s="17">
        <v>81.099999999999994</v>
      </c>
      <c r="R914" s="17">
        <f t="shared" si="43"/>
        <v>50.599999999999994</v>
      </c>
      <c r="S914" s="17">
        <v>71.7</v>
      </c>
      <c r="T914" s="17">
        <f t="shared" si="44"/>
        <v>43.3</v>
      </c>
    </row>
    <row r="915" spans="1:20" x14ac:dyDescent="0.35">
      <c r="A915" s="14" t="s">
        <v>101</v>
      </c>
      <c r="B915" s="15" t="s">
        <v>102</v>
      </c>
      <c r="C915" s="15" t="s">
        <v>64</v>
      </c>
      <c r="D915" s="15" t="s">
        <v>100</v>
      </c>
      <c r="E915" s="15" t="s">
        <v>66</v>
      </c>
      <c r="F915" s="15" t="s">
        <v>67</v>
      </c>
      <c r="G915" s="15" t="s">
        <v>78</v>
      </c>
      <c r="H915" s="15" t="s">
        <v>71</v>
      </c>
      <c r="I915" s="16">
        <v>18476</v>
      </c>
      <c r="J915" s="16">
        <v>17390</v>
      </c>
      <c r="K915" s="16">
        <v>18107</v>
      </c>
      <c r="L915" s="17">
        <v>165.8</v>
      </c>
      <c r="M915" s="17">
        <v>22.7</v>
      </c>
      <c r="N915" s="17">
        <f t="shared" si="42"/>
        <v>143.10000000000002</v>
      </c>
      <c r="O915" s="17">
        <v>129.69999999999999</v>
      </c>
      <c r="P915" s="17">
        <v>140.5</v>
      </c>
      <c r="Q915" s="17">
        <v>87.8</v>
      </c>
      <c r="R915" s="17">
        <f t="shared" si="43"/>
        <v>55.300000000000026</v>
      </c>
      <c r="S915" s="17">
        <v>80.8</v>
      </c>
      <c r="T915" s="17">
        <f t="shared" si="44"/>
        <v>48.899999999999991</v>
      </c>
    </row>
    <row r="916" spans="1:20" x14ac:dyDescent="0.35">
      <c r="A916" s="14" t="s">
        <v>101</v>
      </c>
      <c r="B916" s="15" t="s">
        <v>102</v>
      </c>
      <c r="C916" s="15" t="s">
        <v>64</v>
      </c>
      <c r="D916" s="15" t="s">
        <v>100</v>
      </c>
      <c r="E916" s="15" t="s">
        <v>66</v>
      </c>
      <c r="F916" s="15" t="s">
        <v>79</v>
      </c>
      <c r="G916" s="15" t="s">
        <v>80</v>
      </c>
      <c r="H916" s="15" t="s">
        <v>71</v>
      </c>
      <c r="I916" s="16">
        <v>28883</v>
      </c>
      <c r="J916" s="16">
        <v>26554</v>
      </c>
      <c r="K916" s="16">
        <v>28548</v>
      </c>
      <c r="L916" s="17">
        <v>176.1</v>
      </c>
      <c r="M916" s="17">
        <v>25.7</v>
      </c>
      <c r="N916" s="17">
        <f t="shared" si="42"/>
        <v>150.4</v>
      </c>
      <c r="O916" s="17">
        <v>132.69999999999999</v>
      </c>
      <c r="P916" s="17">
        <v>147.19999999999999</v>
      </c>
      <c r="Q916" s="17">
        <v>88.2</v>
      </c>
      <c r="R916" s="17">
        <f t="shared" si="43"/>
        <v>62.2</v>
      </c>
      <c r="S916" s="17">
        <v>78.5</v>
      </c>
      <c r="T916" s="17">
        <f t="shared" si="44"/>
        <v>54.199999999999989</v>
      </c>
    </row>
    <row r="917" spans="1:20" x14ac:dyDescent="0.35">
      <c r="A917" s="14" t="s">
        <v>101</v>
      </c>
      <c r="B917" s="15" t="s">
        <v>102</v>
      </c>
      <c r="C917" s="15" t="s">
        <v>64</v>
      </c>
      <c r="D917" s="15" t="s">
        <v>100</v>
      </c>
      <c r="E917" s="15" t="s">
        <v>66</v>
      </c>
      <c r="F917" s="15" t="s">
        <v>81</v>
      </c>
      <c r="G917" s="15" t="s">
        <v>82</v>
      </c>
      <c r="H917" s="15" t="s">
        <v>71</v>
      </c>
      <c r="I917" s="16">
        <v>9366</v>
      </c>
      <c r="J917" s="16">
        <v>8465</v>
      </c>
      <c r="K917" s="16">
        <v>9176</v>
      </c>
      <c r="L917" s="17">
        <v>116.3</v>
      </c>
      <c r="M917" s="17">
        <v>15.5</v>
      </c>
      <c r="N917" s="17">
        <f t="shared" si="42"/>
        <v>100.8</v>
      </c>
      <c r="O917" s="17">
        <v>86.7</v>
      </c>
      <c r="P917" s="17">
        <v>97.6</v>
      </c>
      <c r="Q917" s="17">
        <v>62.2</v>
      </c>
      <c r="R917" s="17">
        <f t="shared" si="43"/>
        <v>38.599999999999994</v>
      </c>
      <c r="S917" s="17">
        <v>54.6</v>
      </c>
      <c r="T917" s="17">
        <f t="shared" si="44"/>
        <v>32.1</v>
      </c>
    </row>
    <row r="918" spans="1:20" x14ac:dyDescent="0.35">
      <c r="A918" s="14" t="s">
        <v>101</v>
      </c>
      <c r="B918" s="15" t="s">
        <v>102</v>
      </c>
      <c r="C918" s="15" t="s">
        <v>64</v>
      </c>
      <c r="D918" s="15" t="s">
        <v>100</v>
      </c>
      <c r="E918" s="15" t="s">
        <v>66</v>
      </c>
      <c r="F918" s="15" t="s">
        <v>83</v>
      </c>
      <c r="G918" s="15" t="s">
        <v>84</v>
      </c>
      <c r="H918" s="15" t="s">
        <v>72</v>
      </c>
      <c r="I918" s="16">
        <v>9261</v>
      </c>
      <c r="J918" s="16">
        <v>7436</v>
      </c>
      <c r="K918" s="16">
        <v>9167</v>
      </c>
      <c r="L918" s="17">
        <v>354.8</v>
      </c>
      <c r="M918" s="17">
        <v>50.6</v>
      </c>
      <c r="N918" s="17">
        <f t="shared" si="42"/>
        <v>304.2</v>
      </c>
      <c r="O918" s="17">
        <v>232.4</v>
      </c>
      <c r="P918" s="17">
        <v>298</v>
      </c>
      <c r="Q918" s="17">
        <v>173.5</v>
      </c>
      <c r="R918" s="17">
        <f t="shared" si="43"/>
        <v>130.69999999999999</v>
      </c>
      <c r="S918" s="17">
        <v>133.80000000000001</v>
      </c>
      <c r="T918" s="17">
        <f t="shared" si="44"/>
        <v>98.6</v>
      </c>
    </row>
    <row r="919" spans="1:20" x14ac:dyDescent="0.35">
      <c r="A919" s="14" t="s">
        <v>101</v>
      </c>
      <c r="B919" s="15" t="s">
        <v>102</v>
      </c>
      <c r="C919" s="15" t="s">
        <v>64</v>
      </c>
      <c r="D919" s="15" t="s">
        <v>100</v>
      </c>
      <c r="E919" s="15" t="s">
        <v>66</v>
      </c>
      <c r="F919" s="15" t="s">
        <v>85</v>
      </c>
      <c r="G919" s="15" t="s">
        <v>86</v>
      </c>
      <c r="H919" s="15" t="s">
        <v>72</v>
      </c>
      <c r="I919" s="16">
        <v>5749</v>
      </c>
      <c r="J919" s="16">
        <v>5258</v>
      </c>
      <c r="K919" s="16">
        <v>5623</v>
      </c>
      <c r="L919" s="17">
        <v>132.1</v>
      </c>
      <c r="M919" s="17">
        <v>18.600000000000001</v>
      </c>
      <c r="N919" s="17">
        <f t="shared" si="42"/>
        <v>113.5</v>
      </c>
      <c r="O919" s="17">
        <v>99.5</v>
      </c>
      <c r="P919" s="17">
        <v>111</v>
      </c>
      <c r="Q919" s="17">
        <v>76.2</v>
      </c>
      <c r="R919" s="17">
        <f t="shared" si="43"/>
        <v>37.299999999999997</v>
      </c>
      <c r="S919" s="17">
        <v>67.900000000000006</v>
      </c>
      <c r="T919" s="17">
        <f t="shared" si="44"/>
        <v>31.599999999999994</v>
      </c>
    </row>
    <row r="920" spans="1:20" x14ac:dyDescent="0.35">
      <c r="A920" s="14" t="s">
        <v>101</v>
      </c>
      <c r="B920" s="15" t="s">
        <v>102</v>
      </c>
      <c r="C920" s="15" t="s">
        <v>64</v>
      </c>
      <c r="D920" s="15" t="s">
        <v>100</v>
      </c>
      <c r="E920" s="15" t="s">
        <v>89</v>
      </c>
      <c r="F920" s="15" t="s">
        <v>67</v>
      </c>
      <c r="G920" s="15" t="s">
        <v>68</v>
      </c>
      <c r="H920" s="15" t="s">
        <v>69</v>
      </c>
      <c r="I920" s="16">
        <v>114004</v>
      </c>
      <c r="J920" s="16">
        <v>109579</v>
      </c>
      <c r="K920" s="16">
        <v>111548</v>
      </c>
      <c r="L920" s="17">
        <v>709.7</v>
      </c>
      <c r="M920" s="17">
        <v>43</v>
      </c>
      <c r="N920" s="17">
        <f t="shared" si="42"/>
        <v>666.7</v>
      </c>
      <c r="O920" s="17">
        <v>615.29999999999995</v>
      </c>
      <c r="P920" s="17">
        <v>653</v>
      </c>
      <c r="Q920" s="17">
        <v>359.4</v>
      </c>
      <c r="R920" s="17">
        <f t="shared" si="43"/>
        <v>307.30000000000007</v>
      </c>
      <c r="S920" s="17">
        <v>334.6</v>
      </c>
      <c r="T920" s="17">
        <f t="shared" si="44"/>
        <v>280.69999999999993</v>
      </c>
    </row>
    <row r="921" spans="1:20" x14ac:dyDescent="0.35">
      <c r="A921" s="14" t="s">
        <v>101</v>
      </c>
      <c r="B921" s="15" t="s">
        <v>102</v>
      </c>
      <c r="C921" s="15" t="s">
        <v>64</v>
      </c>
      <c r="D921" s="15" t="s">
        <v>100</v>
      </c>
      <c r="E921" s="15" t="s">
        <v>89</v>
      </c>
      <c r="F921" s="15" t="s">
        <v>67</v>
      </c>
      <c r="G921" s="15" t="s">
        <v>68</v>
      </c>
      <c r="H921" s="15" t="s">
        <v>70</v>
      </c>
      <c r="I921" s="16">
        <v>124459</v>
      </c>
      <c r="J921" s="16">
        <v>115593</v>
      </c>
      <c r="K921" s="16">
        <v>121756</v>
      </c>
      <c r="L921" s="17">
        <v>879.8</v>
      </c>
      <c r="M921" s="17">
        <v>58.1</v>
      </c>
      <c r="N921" s="17">
        <f t="shared" si="42"/>
        <v>821.69999999999993</v>
      </c>
      <c r="O921" s="17">
        <v>724.1</v>
      </c>
      <c r="P921" s="17">
        <v>799.5</v>
      </c>
      <c r="Q921" s="17">
        <v>474.6</v>
      </c>
      <c r="R921" s="17">
        <f t="shared" si="43"/>
        <v>347.09999999999991</v>
      </c>
      <c r="S921" s="17">
        <v>428.5</v>
      </c>
      <c r="T921" s="17">
        <f t="shared" si="44"/>
        <v>295.60000000000002</v>
      </c>
    </row>
    <row r="922" spans="1:20" x14ac:dyDescent="0.35">
      <c r="A922" s="14" t="s">
        <v>101</v>
      </c>
      <c r="B922" s="15" t="s">
        <v>102</v>
      </c>
      <c r="C922" s="15" t="s">
        <v>64</v>
      </c>
      <c r="D922" s="15" t="s">
        <v>100</v>
      </c>
      <c r="E922" s="15" t="s">
        <v>89</v>
      </c>
      <c r="F922" s="15" t="s">
        <v>67</v>
      </c>
      <c r="G922" s="15" t="s">
        <v>68</v>
      </c>
      <c r="H922" s="15" t="s">
        <v>71</v>
      </c>
      <c r="I922" s="16">
        <v>122251</v>
      </c>
      <c r="J922" s="16">
        <v>115614</v>
      </c>
      <c r="K922" s="16">
        <v>120760</v>
      </c>
      <c r="L922" s="17">
        <v>1134.8</v>
      </c>
      <c r="M922" s="17">
        <v>68.599999999999994</v>
      </c>
      <c r="N922" s="17">
        <f t="shared" si="42"/>
        <v>1066.2</v>
      </c>
      <c r="O922" s="17">
        <v>972.2</v>
      </c>
      <c r="P922" s="17">
        <v>1036</v>
      </c>
      <c r="Q922" s="17">
        <v>661.5</v>
      </c>
      <c r="R922" s="17">
        <f t="shared" si="43"/>
        <v>404.70000000000005</v>
      </c>
      <c r="S922" s="17">
        <v>615.9</v>
      </c>
      <c r="T922" s="17">
        <f t="shared" si="44"/>
        <v>356.30000000000007</v>
      </c>
    </row>
    <row r="923" spans="1:20" x14ac:dyDescent="0.35">
      <c r="A923" s="14" t="s">
        <v>101</v>
      </c>
      <c r="B923" s="15" t="s">
        <v>102</v>
      </c>
      <c r="C923" s="15" t="s">
        <v>64</v>
      </c>
      <c r="D923" s="15" t="s">
        <v>100</v>
      </c>
      <c r="E923" s="15" t="s">
        <v>89</v>
      </c>
      <c r="F923" s="15" t="s">
        <v>67</v>
      </c>
      <c r="G923" s="15" t="s">
        <v>68</v>
      </c>
      <c r="H923" s="15" t="s">
        <v>72</v>
      </c>
      <c r="I923" s="16">
        <v>23784</v>
      </c>
      <c r="J923" s="16">
        <v>22257</v>
      </c>
      <c r="K923" s="16">
        <v>23503</v>
      </c>
      <c r="L923" s="17">
        <v>300.7</v>
      </c>
      <c r="M923" s="17">
        <v>23.2</v>
      </c>
      <c r="N923" s="17">
        <f t="shared" si="42"/>
        <v>277.5</v>
      </c>
      <c r="O923" s="17">
        <v>250.2</v>
      </c>
      <c r="P923" s="17">
        <v>271.7</v>
      </c>
      <c r="Q923" s="17">
        <v>175.2</v>
      </c>
      <c r="R923" s="17">
        <f t="shared" si="43"/>
        <v>102.30000000000001</v>
      </c>
      <c r="S923" s="17">
        <v>161</v>
      </c>
      <c r="T923" s="17">
        <f t="shared" si="44"/>
        <v>89.199999999999989</v>
      </c>
    </row>
    <row r="924" spans="1:20" x14ac:dyDescent="0.35">
      <c r="A924" s="14" t="s">
        <v>101</v>
      </c>
      <c r="B924" s="15" t="s">
        <v>102</v>
      </c>
      <c r="C924" s="15" t="s">
        <v>64</v>
      </c>
      <c r="D924" s="15" t="s">
        <v>100</v>
      </c>
      <c r="E924" s="15" t="s">
        <v>89</v>
      </c>
      <c r="F924" s="15" t="s">
        <v>67</v>
      </c>
      <c r="G924" s="15" t="s">
        <v>73</v>
      </c>
      <c r="H924" s="15" t="s">
        <v>71</v>
      </c>
      <c r="I924" s="16">
        <v>31769</v>
      </c>
      <c r="J924" s="16">
        <v>27498</v>
      </c>
      <c r="K924" s="16">
        <v>31216</v>
      </c>
      <c r="L924" s="17">
        <v>290.8</v>
      </c>
      <c r="M924" s="17">
        <v>19.5</v>
      </c>
      <c r="N924" s="17">
        <f t="shared" si="42"/>
        <v>271.3</v>
      </c>
      <c r="O924" s="17">
        <v>226.5</v>
      </c>
      <c r="P924" s="17">
        <v>266.10000000000002</v>
      </c>
      <c r="Q924" s="17">
        <v>166.5</v>
      </c>
      <c r="R924" s="17">
        <f t="shared" si="43"/>
        <v>104.80000000000001</v>
      </c>
      <c r="S924" s="17">
        <v>141.5</v>
      </c>
      <c r="T924" s="17">
        <f t="shared" si="44"/>
        <v>85</v>
      </c>
    </row>
    <row r="925" spans="1:20" x14ac:dyDescent="0.35">
      <c r="A925" s="14" t="s">
        <v>101</v>
      </c>
      <c r="B925" s="15" t="s">
        <v>102</v>
      </c>
      <c r="C925" s="15" t="s">
        <v>64</v>
      </c>
      <c r="D925" s="15" t="s">
        <v>100</v>
      </c>
      <c r="E925" s="15" t="s">
        <v>89</v>
      </c>
      <c r="F925" s="15" t="s">
        <v>67</v>
      </c>
      <c r="G925" s="15" t="s">
        <v>73</v>
      </c>
      <c r="H925" s="15" t="s">
        <v>72</v>
      </c>
      <c r="I925" s="16">
        <v>8382</v>
      </c>
      <c r="J925" s="16">
        <v>7229</v>
      </c>
      <c r="K925" s="16">
        <v>8196</v>
      </c>
      <c r="L925" s="17">
        <v>103.7</v>
      </c>
      <c r="M925" s="17">
        <v>7.4</v>
      </c>
      <c r="N925" s="17">
        <f t="shared" si="42"/>
        <v>96.3</v>
      </c>
      <c r="O925" s="17">
        <v>79.8</v>
      </c>
      <c r="P925" s="17">
        <v>93.4</v>
      </c>
      <c r="Q925" s="17">
        <v>60.3</v>
      </c>
      <c r="R925" s="17">
        <f t="shared" si="43"/>
        <v>36</v>
      </c>
      <c r="S925" s="17">
        <v>50.6</v>
      </c>
      <c r="T925" s="17">
        <f t="shared" si="44"/>
        <v>29.199999999999996</v>
      </c>
    </row>
    <row r="926" spans="1:20" x14ac:dyDescent="0.35">
      <c r="A926" s="14" t="s">
        <v>101</v>
      </c>
      <c r="B926" s="15" t="s">
        <v>102</v>
      </c>
      <c r="C926" s="15" t="s">
        <v>64</v>
      </c>
      <c r="D926" s="15" t="s">
        <v>100</v>
      </c>
      <c r="E926" s="15" t="s">
        <v>89</v>
      </c>
      <c r="F926" s="15" t="s">
        <v>67</v>
      </c>
      <c r="G926" s="15" t="s">
        <v>74</v>
      </c>
      <c r="H926" s="15" t="s">
        <v>70</v>
      </c>
      <c r="I926" s="16">
        <v>56640</v>
      </c>
      <c r="J926" s="16">
        <v>52253</v>
      </c>
      <c r="K926" s="16">
        <v>55688</v>
      </c>
      <c r="L926" s="17">
        <v>390</v>
      </c>
      <c r="M926" s="17">
        <v>24.6</v>
      </c>
      <c r="N926" s="17">
        <f t="shared" si="42"/>
        <v>365.4</v>
      </c>
      <c r="O926" s="17">
        <v>320.2</v>
      </c>
      <c r="P926" s="17">
        <v>354.7</v>
      </c>
      <c r="Q926" s="17">
        <v>203.7</v>
      </c>
      <c r="R926" s="17">
        <f t="shared" si="43"/>
        <v>161.69999999999999</v>
      </c>
      <c r="S926" s="17">
        <v>180.7</v>
      </c>
      <c r="T926" s="17">
        <f t="shared" si="44"/>
        <v>139.5</v>
      </c>
    </row>
    <row r="927" spans="1:20" x14ac:dyDescent="0.35">
      <c r="A927" s="14" t="s">
        <v>101</v>
      </c>
      <c r="B927" s="15" t="s">
        <v>102</v>
      </c>
      <c r="C927" s="15" t="s">
        <v>64</v>
      </c>
      <c r="D927" s="15" t="s">
        <v>100</v>
      </c>
      <c r="E927" s="15" t="s">
        <v>89</v>
      </c>
      <c r="F927" s="15" t="s">
        <v>67</v>
      </c>
      <c r="G927" s="15" t="s">
        <v>74</v>
      </c>
      <c r="H927" s="15" t="s">
        <v>71</v>
      </c>
      <c r="I927" s="16">
        <v>45004</v>
      </c>
      <c r="J927" s="16">
        <v>42524</v>
      </c>
      <c r="K927" s="16">
        <v>44033</v>
      </c>
      <c r="L927" s="17">
        <v>403.4</v>
      </c>
      <c r="M927" s="17">
        <v>30</v>
      </c>
      <c r="N927" s="17">
        <f t="shared" si="42"/>
        <v>373.4</v>
      </c>
      <c r="O927" s="17">
        <v>335.5</v>
      </c>
      <c r="P927" s="17">
        <v>364.5</v>
      </c>
      <c r="Q927" s="17">
        <v>233.6</v>
      </c>
      <c r="R927" s="17">
        <f t="shared" si="43"/>
        <v>139.79999999999998</v>
      </c>
      <c r="S927" s="17">
        <v>213.7</v>
      </c>
      <c r="T927" s="17">
        <f t="shared" si="44"/>
        <v>121.80000000000001</v>
      </c>
    </row>
    <row r="928" spans="1:20" x14ac:dyDescent="0.35">
      <c r="A928" s="14" t="s">
        <v>101</v>
      </c>
      <c r="B928" s="15" t="s">
        <v>102</v>
      </c>
      <c r="C928" s="15" t="s">
        <v>64</v>
      </c>
      <c r="D928" s="15" t="s">
        <v>100</v>
      </c>
      <c r="E928" s="15" t="s">
        <v>89</v>
      </c>
      <c r="F928" s="15" t="s">
        <v>67</v>
      </c>
      <c r="G928" s="15" t="s">
        <v>75</v>
      </c>
      <c r="H928" s="15" t="s">
        <v>71</v>
      </c>
      <c r="I928" s="16">
        <v>36836</v>
      </c>
      <c r="J928" s="16">
        <v>34889</v>
      </c>
      <c r="K928" s="16">
        <v>36343</v>
      </c>
      <c r="L928" s="17">
        <v>335.6</v>
      </c>
      <c r="M928" s="17">
        <v>24.5</v>
      </c>
      <c r="N928" s="17">
        <f t="shared" si="42"/>
        <v>311.10000000000002</v>
      </c>
      <c r="O928" s="17">
        <v>283.89999999999998</v>
      </c>
      <c r="P928" s="17">
        <v>305</v>
      </c>
      <c r="Q928" s="17">
        <v>189.3</v>
      </c>
      <c r="R928" s="17">
        <f t="shared" si="43"/>
        <v>121.80000000000001</v>
      </c>
      <c r="S928" s="17">
        <v>175</v>
      </c>
      <c r="T928" s="17">
        <f t="shared" si="44"/>
        <v>108.89999999999998</v>
      </c>
    </row>
    <row r="929" spans="1:20" x14ac:dyDescent="0.35">
      <c r="A929" s="14" t="s">
        <v>101</v>
      </c>
      <c r="B929" s="15" t="s">
        <v>102</v>
      </c>
      <c r="C929" s="15" t="s">
        <v>64</v>
      </c>
      <c r="D929" s="15" t="s">
        <v>100</v>
      </c>
      <c r="E929" s="15" t="s">
        <v>89</v>
      </c>
      <c r="F929" s="15" t="s">
        <v>67</v>
      </c>
      <c r="G929" s="15" t="s">
        <v>76</v>
      </c>
      <c r="H929" s="15" t="s">
        <v>72</v>
      </c>
      <c r="I929" s="16">
        <v>6200</v>
      </c>
      <c r="J929" s="16">
        <v>5676</v>
      </c>
      <c r="K929" s="16">
        <v>6137</v>
      </c>
      <c r="L929" s="17">
        <v>95.2</v>
      </c>
      <c r="M929" s="17">
        <v>6.8</v>
      </c>
      <c r="N929" s="17">
        <f t="shared" si="42"/>
        <v>88.4</v>
      </c>
      <c r="O929" s="17">
        <v>78</v>
      </c>
      <c r="P929" s="17">
        <v>86.3</v>
      </c>
      <c r="Q929" s="17">
        <v>54</v>
      </c>
      <c r="R929" s="17">
        <f t="shared" si="43"/>
        <v>34.400000000000006</v>
      </c>
      <c r="S929" s="17">
        <v>48.5</v>
      </c>
      <c r="T929" s="17">
        <f t="shared" si="44"/>
        <v>29.5</v>
      </c>
    </row>
    <row r="930" spans="1:20" x14ac:dyDescent="0.35">
      <c r="A930" s="14" t="s">
        <v>101</v>
      </c>
      <c r="B930" s="15" t="s">
        <v>102</v>
      </c>
      <c r="C930" s="15" t="s">
        <v>64</v>
      </c>
      <c r="D930" s="15" t="s">
        <v>100</v>
      </c>
      <c r="E930" s="15" t="s">
        <v>89</v>
      </c>
      <c r="F930" s="15" t="s">
        <v>67</v>
      </c>
      <c r="G930" s="15" t="s">
        <v>77</v>
      </c>
      <c r="H930" s="15" t="s">
        <v>71</v>
      </c>
      <c r="I930" s="16">
        <v>18670</v>
      </c>
      <c r="J930" s="16">
        <v>17732</v>
      </c>
      <c r="K930" s="16">
        <v>18414</v>
      </c>
      <c r="L930" s="17">
        <v>172.1</v>
      </c>
      <c r="M930" s="17">
        <v>11.8</v>
      </c>
      <c r="N930" s="17">
        <f t="shared" si="42"/>
        <v>160.29999999999998</v>
      </c>
      <c r="O930" s="17">
        <v>144.5</v>
      </c>
      <c r="P930" s="17">
        <v>155.4</v>
      </c>
      <c r="Q930" s="17">
        <v>99.3</v>
      </c>
      <c r="R930" s="17">
        <f t="shared" si="43"/>
        <v>60.999999999999986</v>
      </c>
      <c r="S930" s="17">
        <v>90.6</v>
      </c>
      <c r="T930" s="17">
        <f t="shared" si="44"/>
        <v>53.900000000000006</v>
      </c>
    </row>
    <row r="931" spans="1:20" x14ac:dyDescent="0.35">
      <c r="A931" s="14" t="s">
        <v>101</v>
      </c>
      <c r="B931" s="15" t="s">
        <v>102</v>
      </c>
      <c r="C931" s="15" t="s">
        <v>64</v>
      </c>
      <c r="D931" s="15" t="s">
        <v>100</v>
      </c>
      <c r="E931" s="15" t="s">
        <v>89</v>
      </c>
      <c r="F931" s="15" t="s">
        <v>67</v>
      </c>
      <c r="G931" s="15" t="s">
        <v>78</v>
      </c>
      <c r="H931" s="15" t="s">
        <v>71</v>
      </c>
      <c r="I931" s="16">
        <v>22152</v>
      </c>
      <c r="J931" s="16">
        <v>20954</v>
      </c>
      <c r="K931" s="16">
        <v>21953</v>
      </c>
      <c r="L931" s="17">
        <v>191.5</v>
      </c>
      <c r="M931" s="17">
        <v>14.6</v>
      </c>
      <c r="N931" s="17">
        <f t="shared" si="42"/>
        <v>176.9</v>
      </c>
      <c r="O931" s="17">
        <v>158.9</v>
      </c>
      <c r="P931" s="17">
        <v>172.9</v>
      </c>
      <c r="Q931" s="17">
        <v>109.3</v>
      </c>
      <c r="R931" s="17">
        <f t="shared" si="43"/>
        <v>67.600000000000009</v>
      </c>
      <c r="S931" s="17">
        <v>99.1</v>
      </c>
      <c r="T931" s="17">
        <f t="shared" si="44"/>
        <v>59.800000000000011</v>
      </c>
    </row>
    <row r="932" spans="1:20" x14ac:dyDescent="0.35">
      <c r="A932" s="14" t="s">
        <v>101</v>
      </c>
      <c r="B932" s="15" t="s">
        <v>102</v>
      </c>
      <c r="C932" s="15" t="s">
        <v>64</v>
      </c>
      <c r="D932" s="15" t="s">
        <v>100</v>
      </c>
      <c r="E932" s="15" t="s">
        <v>89</v>
      </c>
      <c r="F932" s="15" t="s">
        <v>79</v>
      </c>
      <c r="G932" s="15" t="s">
        <v>80</v>
      </c>
      <c r="H932" s="15" t="s">
        <v>71</v>
      </c>
      <c r="I932" s="16">
        <v>35307</v>
      </c>
      <c r="J932" s="16">
        <v>33147</v>
      </c>
      <c r="K932" s="16">
        <v>34537</v>
      </c>
      <c r="L932" s="17">
        <v>206.5</v>
      </c>
      <c r="M932" s="17">
        <v>15.1</v>
      </c>
      <c r="N932" s="17">
        <f t="shared" si="42"/>
        <v>191.4</v>
      </c>
      <c r="O932" s="17">
        <v>170.5</v>
      </c>
      <c r="P932" s="17">
        <v>186.9</v>
      </c>
      <c r="Q932" s="17">
        <v>116.4</v>
      </c>
      <c r="R932" s="17">
        <f t="shared" si="43"/>
        <v>75</v>
      </c>
      <c r="S932" s="17">
        <v>105.1</v>
      </c>
      <c r="T932" s="17">
        <f t="shared" si="44"/>
        <v>65.400000000000006</v>
      </c>
    </row>
    <row r="933" spans="1:20" x14ac:dyDescent="0.35">
      <c r="A933" s="14" t="s">
        <v>101</v>
      </c>
      <c r="B933" s="15" t="s">
        <v>102</v>
      </c>
      <c r="C933" s="15" t="s">
        <v>64</v>
      </c>
      <c r="D933" s="15" t="s">
        <v>100</v>
      </c>
      <c r="E933" s="15" t="s">
        <v>89</v>
      </c>
      <c r="F933" s="15" t="s">
        <v>81</v>
      </c>
      <c r="G933" s="15" t="s">
        <v>82</v>
      </c>
      <c r="H933" s="15" t="s">
        <v>71</v>
      </c>
      <c r="I933" s="16">
        <v>12247</v>
      </c>
      <c r="J933" s="16">
        <v>11050</v>
      </c>
      <c r="K933" s="16">
        <v>12010</v>
      </c>
      <c r="L933" s="17">
        <v>143.4</v>
      </c>
      <c r="M933" s="17">
        <v>9.1</v>
      </c>
      <c r="N933" s="17">
        <f t="shared" si="42"/>
        <v>134.30000000000001</v>
      </c>
      <c r="O933" s="17">
        <v>115.9</v>
      </c>
      <c r="P933" s="17">
        <v>132</v>
      </c>
      <c r="Q933" s="17">
        <v>81.3</v>
      </c>
      <c r="R933" s="17">
        <f t="shared" si="43"/>
        <v>53.000000000000014</v>
      </c>
      <c r="S933" s="17">
        <v>70.900000000000006</v>
      </c>
      <c r="T933" s="17">
        <f t="shared" si="44"/>
        <v>45</v>
      </c>
    </row>
    <row r="934" spans="1:20" x14ac:dyDescent="0.35">
      <c r="A934" s="14" t="s">
        <v>101</v>
      </c>
      <c r="B934" s="15" t="s">
        <v>102</v>
      </c>
      <c r="C934" s="15" t="s">
        <v>64</v>
      </c>
      <c r="D934" s="15" t="s">
        <v>100</v>
      </c>
      <c r="E934" s="15" t="s">
        <v>89</v>
      </c>
      <c r="F934" s="15" t="s">
        <v>83</v>
      </c>
      <c r="G934" s="15" t="s">
        <v>84</v>
      </c>
      <c r="H934" s="15" t="s">
        <v>72</v>
      </c>
      <c r="I934" s="16">
        <v>5344</v>
      </c>
      <c r="J934" s="16">
        <v>4408</v>
      </c>
      <c r="K934" s="16">
        <v>5294</v>
      </c>
      <c r="L934" s="17">
        <v>203.2</v>
      </c>
      <c r="M934" s="17">
        <v>15.8</v>
      </c>
      <c r="N934" s="17">
        <f t="shared" si="42"/>
        <v>187.39999999999998</v>
      </c>
      <c r="O934" s="17">
        <v>149</v>
      </c>
      <c r="P934" s="17">
        <v>181.8</v>
      </c>
      <c r="Q934" s="17">
        <v>106.6</v>
      </c>
      <c r="R934" s="17">
        <f t="shared" si="43"/>
        <v>80.799999999999983</v>
      </c>
      <c r="S934" s="17">
        <v>86.7</v>
      </c>
      <c r="T934" s="17">
        <f t="shared" si="44"/>
        <v>62.3</v>
      </c>
    </row>
    <row r="935" spans="1:20" x14ac:dyDescent="0.35">
      <c r="A935" s="14" t="s">
        <v>101</v>
      </c>
      <c r="B935" s="15" t="s">
        <v>102</v>
      </c>
      <c r="C935" s="15" t="s">
        <v>64</v>
      </c>
      <c r="D935" s="15" t="s">
        <v>100</v>
      </c>
      <c r="E935" s="15" t="s">
        <v>89</v>
      </c>
      <c r="F935" s="15" t="s">
        <v>85</v>
      </c>
      <c r="G935" s="15" t="s">
        <v>86</v>
      </c>
      <c r="H935" s="15" t="s">
        <v>72</v>
      </c>
      <c r="I935" s="16">
        <v>4362</v>
      </c>
      <c r="J935" s="16">
        <v>3959</v>
      </c>
      <c r="K935" s="16">
        <v>4290</v>
      </c>
      <c r="L935" s="17">
        <v>96.3</v>
      </c>
      <c r="M935" s="17">
        <v>6</v>
      </c>
      <c r="N935" s="17">
        <f t="shared" si="42"/>
        <v>90.3</v>
      </c>
      <c r="O935" s="17">
        <v>77.900000000000006</v>
      </c>
      <c r="P935" s="17">
        <v>88</v>
      </c>
      <c r="Q935" s="17">
        <v>60</v>
      </c>
      <c r="R935" s="17">
        <f t="shared" si="43"/>
        <v>30.299999999999997</v>
      </c>
      <c r="S935" s="17">
        <v>52.3</v>
      </c>
      <c r="T935" s="17">
        <f t="shared" si="44"/>
        <v>25.600000000000009</v>
      </c>
    </row>
    <row r="936" spans="1:20" x14ac:dyDescent="0.35">
      <c r="A936" s="14" t="s">
        <v>101</v>
      </c>
      <c r="B936" s="15" t="s">
        <v>102</v>
      </c>
      <c r="C936" s="15" t="s">
        <v>64</v>
      </c>
      <c r="D936" s="15" t="s">
        <v>100</v>
      </c>
      <c r="E936" s="15" t="s">
        <v>90</v>
      </c>
      <c r="F936" s="15" t="s">
        <v>67</v>
      </c>
      <c r="G936" s="15" t="s">
        <v>68</v>
      </c>
      <c r="H936" s="15" t="s">
        <v>69</v>
      </c>
      <c r="I936" s="16">
        <v>36523</v>
      </c>
      <c r="J936" s="16">
        <v>34951</v>
      </c>
      <c r="K936" s="16">
        <v>35844</v>
      </c>
      <c r="L936" s="17">
        <v>212.6</v>
      </c>
      <c r="M936" s="17">
        <v>22.3</v>
      </c>
      <c r="N936" s="17">
        <f t="shared" si="42"/>
        <v>190.29999999999998</v>
      </c>
      <c r="O936" s="17">
        <v>174.7</v>
      </c>
      <c r="P936" s="17">
        <v>185.7</v>
      </c>
      <c r="Q936" s="17">
        <v>107.5</v>
      </c>
      <c r="R936" s="17">
        <f t="shared" si="43"/>
        <v>82.799999999999983</v>
      </c>
      <c r="S936" s="17">
        <v>99.4</v>
      </c>
      <c r="T936" s="17">
        <f t="shared" si="44"/>
        <v>75.299999999999983</v>
      </c>
    </row>
    <row r="937" spans="1:20" x14ac:dyDescent="0.35">
      <c r="A937" s="14" t="s">
        <v>101</v>
      </c>
      <c r="B937" s="15" t="s">
        <v>102</v>
      </c>
      <c r="C937" s="15" t="s">
        <v>64</v>
      </c>
      <c r="D937" s="15" t="s">
        <v>100</v>
      </c>
      <c r="E937" s="15" t="s">
        <v>90</v>
      </c>
      <c r="F937" s="15" t="s">
        <v>67</v>
      </c>
      <c r="G937" s="15" t="s">
        <v>68</v>
      </c>
      <c r="H937" s="15" t="s">
        <v>70</v>
      </c>
      <c r="I937" s="16">
        <v>49850</v>
      </c>
      <c r="J937" s="16">
        <v>46383</v>
      </c>
      <c r="K937" s="16">
        <v>49439</v>
      </c>
      <c r="L937" s="17">
        <v>331</v>
      </c>
      <c r="M937" s="17">
        <v>36.6</v>
      </c>
      <c r="N937" s="17">
        <f t="shared" si="42"/>
        <v>294.39999999999998</v>
      </c>
      <c r="O937" s="17">
        <v>260.39999999999998</v>
      </c>
      <c r="P937" s="17">
        <v>284.8</v>
      </c>
      <c r="Q937" s="17">
        <v>168.8</v>
      </c>
      <c r="R937" s="17">
        <f t="shared" si="43"/>
        <v>125.59999999999997</v>
      </c>
      <c r="S937" s="17">
        <v>152.6</v>
      </c>
      <c r="T937" s="17">
        <f t="shared" si="44"/>
        <v>107.79999999999998</v>
      </c>
    </row>
    <row r="938" spans="1:20" x14ac:dyDescent="0.35">
      <c r="A938" s="14" t="s">
        <v>101</v>
      </c>
      <c r="B938" s="15" t="s">
        <v>102</v>
      </c>
      <c r="C938" s="15" t="s">
        <v>64</v>
      </c>
      <c r="D938" s="15" t="s">
        <v>100</v>
      </c>
      <c r="E938" s="15" t="s">
        <v>90</v>
      </c>
      <c r="F938" s="15" t="s">
        <v>67</v>
      </c>
      <c r="G938" s="15" t="s">
        <v>68</v>
      </c>
      <c r="H938" s="15" t="s">
        <v>71</v>
      </c>
      <c r="I938" s="16">
        <v>66269</v>
      </c>
      <c r="J938" s="16">
        <v>64450</v>
      </c>
      <c r="K938" s="16">
        <v>64858</v>
      </c>
      <c r="L938" s="17">
        <v>556.1</v>
      </c>
      <c r="M938" s="17">
        <v>57.4</v>
      </c>
      <c r="N938" s="17">
        <f t="shared" si="42"/>
        <v>498.70000000000005</v>
      </c>
      <c r="O938" s="17">
        <v>462.7</v>
      </c>
      <c r="P938" s="17">
        <v>483.3</v>
      </c>
      <c r="Q938" s="17">
        <v>306.10000000000002</v>
      </c>
      <c r="R938" s="17">
        <f t="shared" si="43"/>
        <v>192.60000000000002</v>
      </c>
      <c r="S938" s="17">
        <v>288.8</v>
      </c>
      <c r="T938" s="17">
        <f t="shared" si="44"/>
        <v>173.89999999999998</v>
      </c>
    </row>
    <row r="939" spans="1:20" x14ac:dyDescent="0.35">
      <c r="A939" s="14" t="s">
        <v>101</v>
      </c>
      <c r="B939" s="15" t="s">
        <v>102</v>
      </c>
      <c r="C939" s="15" t="s">
        <v>64</v>
      </c>
      <c r="D939" s="15" t="s">
        <v>100</v>
      </c>
      <c r="E939" s="15" t="s">
        <v>90</v>
      </c>
      <c r="F939" s="15" t="s">
        <v>67</v>
      </c>
      <c r="G939" s="15" t="s">
        <v>68</v>
      </c>
      <c r="H939" s="15" t="s">
        <v>72</v>
      </c>
      <c r="I939" s="16">
        <v>18619</v>
      </c>
      <c r="J939" s="16">
        <v>17388</v>
      </c>
      <c r="K939" s="16">
        <v>18425</v>
      </c>
      <c r="L939" s="17">
        <v>209.5</v>
      </c>
      <c r="M939" s="17">
        <v>23.5</v>
      </c>
      <c r="N939" s="17">
        <f t="shared" si="42"/>
        <v>186</v>
      </c>
      <c r="O939" s="17">
        <v>167.6</v>
      </c>
      <c r="P939" s="17">
        <v>179.9</v>
      </c>
      <c r="Q939" s="17">
        <v>120.2</v>
      </c>
      <c r="R939" s="17">
        <f t="shared" si="43"/>
        <v>65.8</v>
      </c>
      <c r="S939" s="17">
        <v>109.3</v>
      </c>
      <c r="T939" s="17">
        <f t="shared" si="44"/>
        <v>58.3</v>
      </c>
    </row>
    <row r="940" spans="1:20" x14ac:dyDescent="0.35">
      <c r="A940" s="14" t="s">
        <v>101</v>
      </c>
      <c r="B940" s="15" t="s">
        <v>102</v>
      </c>
      <c r="C940" s="15" t="s">
        <v>64</v>
      </c>
      <c r="D940" s="15" t="s">
        <v>100</v>
      </c>
      <c r="E940" s="15" t="s">
        <v>90</v>
      </c>
      <c r="F940" s="15" t="s">
        <v>67</v>
      </c>
      <c r="G940" s="15" t="s">
        <v>73</v>
      </c>
      <c r="H940" s="15" t="s">
        <v>71</v>
      </c>
      <c r="I940" s="16">
        <v>17562</v>
      </c>
      <c r="J940" s="16">
        <v>15426</v>
      </c>
      <c r="K940" s="16">
        <v>17364</v>
      </c>
      <c r="L940" s="17">
        <v>147.19999999999999</v>
      </c>
      <c r="M940" s="17">
        <v>16.7</v>
      </c>
      <c r="N940" s="17">
        <f t="shared" si="42"/>
        <v>130.5</v>
      </c>
      <c r="O940" s="17">
        <v>109.6</v>
      </c>
      <c r="P940" s="17">
        <v>126.5</v>
      </c>
      <c r="Q940" s="17">
        <v>82.5</v>
      </c>
      <c r="R940" s="17">
        <f t="shared" si="43"/>
        <v>48</v>
      </c>
      <c r="S940" s="17">
        <v>70.599999999999994</v>
      </c>
      <c r="T940" s="17">
        <f t="shared" si="44"/>
        <v>39</v>
      </c>
    </row>
    <row r="941" spans="1:20" x14ac:dyDescent="0.35">
      <c r="A941" s="14" t="s">
        <v>101</v>
      </c>
      <c r="B941" s="15" t="s">
        <v>102</v>
      </c>
      <c r="C941" s="15" t="s">
        <v>64</v>
      </c>
      <c r="D941" s="15" t="s">
        <v>100</v>
      </c>
      <c r="E941" s="15" t="s">
        <v>90</v>
      </c>
      <c r="F941" s="15" t="s">
        <v>67</v>
      </c>
      <c r="G941" s="15" t="s">
        <v>73</v>
      </c>
      <c r="H941" s="15" t="s">
        <v>72</v>
      </c>
      <c r="I941" s="16">
        <v>5712</v>
      </c>
      <c r="J941" s="16">
        <v>4985</v>
      </c>
      <c r="K941" s="16">
        <v>5614</v>
      </c>
      <c r="L941" s="17">
        <v>64.900000000000006</v>
      </c>
      <c r="M941" s="17">
        <v>7.1</v>
      </c>
      <c r="N941" s="17">
        <f t="shared" si="42"/>
        <v>57.800000000000004</v>
      </c>
      <c r="O941" s="17">
        <v>48.4</v>
      </c>
      <c r="P941" s="17">
        <v>56.3</v>
      </c>
      <c r="Q941" s="17">
        <v>37.5</v>
      </c>
      <c r="R941" s="17">
        <f t="shared" si="43"/>
        <v>20.300000000000004</v>
      </c>
      <c r="S941" s="17">
        <v>31.9</v>
      </c>
      <c r="T941" s="17">
        <f t="shared" si="44"/>
        <v>16.5</v>
      </c>
    </row>
    <row r="942" spans="1:20" x14ac:dyDescent="0.35">
      <c r="A942" s="14" t="s">
        <v>101</v>
      </c>
      <c r="B942" s="15" t="s">
        <v>102</v>
      </c>
      <c r="C942" s="15" t="s">
        <v>64</v>
      </c>
      <c r="D942" s="15" t="s">
        <v>100</v>
      </c>
      <c r="E942" s="15" t="s">
        <v>90</v>
      </c>
      <c r="F942" s="15" t="s">
        <v>67</v>
      </c>
      <c r="G942" s="15" t="s">
        <v>74</v>
      </c>
      <c r="H942" s="15" t="s">
        <v>70</v>
      </c>
      <c r="I942" s="16">
        <v>21891</v>
      </c>
      <c r="J942" s="16">
        <v>20256</v>
      </c>
      <c r="K942" s="16">
        <v>21641</v>
      </c>
      <c r="L942" s="17">
        <v>141.80000000000001</v>
      </c>
      <c r="M942" s="17">
        <v>15.1</v>
      </c>
      <c r="N942" s="17">
        <f t="shared" si="42"/>
        <v>126.70000000000002</v>
      </c>
      <c r="O942" s="17">
        <v>113.3</v>
      </c>
      <c r="P942" s="17">
        <v>124.1</v>
      </c>
      <c r="Q942" s="17">
        <v>71.099999999999994</v>
      </c>
      <c r="R942" s="17">
        <f t="shared" si="43"/>
        <v>55.600000000000023</v>
      </c>
      <c r="S942" s="17">
        <v>64.7</v>
      </c>
      <c r="T942" s="17">
        <f t="shared" si="44"/>
        <v>48.599999999999994</v>
      </c>
    </row>
    <row r="943" spans="1:20" x14ac:dyDescent="0.35">
      <c r="A943" s="14" t="s">
        <v>101</v>
      </c>
      <c r="B943" s="15" t="s">
        <v>102</v>
      </c>
      <c r="C943" s="15" t="s">
        <v>64</v>
      </c>
      <c r="D943" s="15" t="s">
        <v>100</v>
      </c>
      <c r="E943" s="15" t="s">
        <v>90</v>
      </c>
      <c r="F943" s="15" t="s">
        <v>67</v>
      </c>
      <c r="G943" s="15" t="s">
        <v>74</v>
      </c>
      <c r="H943" s="15" t="s">
        <v>71</v>
      </c>
      <c r="I943" s="16">
        <v>27311</v>
      </c>
      <c r="J943" s="16">
        <v>25656</v>
      </c>
      <c r="K943" s="16">
        <v>26830</v>
      </c>
      <c r="L943" s="17">
        <v>216.8</v>
      </c>
      <c r="M943" s="17">
        <v>22.3</v>
      </c>
      <c r="N943" s="17">
        <f t="shared" si="42"/>
        <v>194.5</v>
      </c>
      <c r="O943" s="17">
        <v>175.6</v>
      </c>
      <c r="P943" s="17">
        <v>189</v>
      </c>
      <c r="Q943" s="17">
        <v>122.9</v>
      </c>
      <c r="R943" s="17">
        <f t="shared" si="43"/>
        <v>71.599999999999994</v>
      </c>
      <c r="S943" s="17">
        <v>111.9</v>
      </c>
      <c r="T943" s="17">
        <f t="shared" si="44"/>
        <v>63.699999999999989</v>
      </c>
    </row>
    <row r="944" spans="1:20" x14ac:dyDescent="0.35">
      <c r="A944" s="14" t="s">
        <v>101</v>
      </c>
      <c r="B944" s="15" t="s">
        <v>102</v>
      </c>
      <c r="C944" s="15" t="s">
        <v>64</v>
      </c>
      <c r="D944" s="15" t="s">
        <v>100</v>
      </c>
      <c r="E944" s="15" t="s">
        <v>90</v>
      </c>
      <c r="F944" s="15" t="s">
        <v>67</v>
      </c>
      <c r="G944" s="15" t="s">
        <v>75</v>
      </c>
      <c r="H944" s="15" t="s">
        <v>71</v>
      </c>
      <c r="I944" s="16">
        <v>21849</v>
      </c>
      <c r="J944" s="16">
        <v>20537</v>
      </c>
      <c r="K944" s="16">
        <v>21578</v>
      </c>
      <c r="L944" s="17">
        <v>175</v>
      </c>
      <c r="M944" s="17">
        <v>18.8</v>
      </c>
      <c r="N944" s="17">
        <f t="shared" si="42"/>
        <v>156.19999999999999</v>
      </c>
      <c r="O944" s="17">
        <v>139.19999999999999</v>
      </c>
      <c r="P944" s="17">
        <v>152.69999999999999</v>
      </c>
      <c r="Q944" s="17">
        <v>94.8</v>
      </c>
      <c r="R944" s="17">
        <f t="shared" si="43"/>
        <v>61.399999999999991</v>
      </c>
      <c r="S944" s="17">
        <v>86.4</v>
      </c>
      <c r="T944" s="17">
        <f t="shared" si="44"/>
        <v>52.799999999999983</v>
      </c>
    </row>
    <row r="945" spans="1:20" x14ac:dyDescent="0.35">
      <c r="A945" s="14" t="s">
        <v>101</v>
      </c>
      <c r="B945" s="15" t="s">
        <v>102</v>
      </c>
      <c r="C945" s="15" t="s">
        <v>64</v>
      </c>
      <c r="D945" s="15" t="s">
        <v>100</v>
      </c>
      <c r="E945" s="15" t="s">
        <v>90</v>
      </c>
      <c r="F945" s="15" t="s">
        <v>67</v>
      </c>
      <c r="G945" s="15" t="s">
        <v>76</v>
      </c>
      <c r="H945" s="15" t="s">
        <v>72</v>
      </c>
      <c r="I945" s="16">
        <v>4517</v>
      </c>
      <c r="J945" s="16">
        <v>4146</v>
      </c>
      <c r="K945" s="16">
        <v>4481</v>
      </c>
      <c r="L945" s="17">
        <v>60.3</v>
      </c>
      <c r="M945" s="17">
        <v>6.9</v>
      </c>
      <c r="N945" s="17">
        <f t="shared" si="42"/>
        <v>53.4</v>
      </c>
      <c r="O945" s="17">
        <v>47</v>
      </c>
      <c r="P945" s="17">
        <v>51.8</v>
      </c>
      <c r="Q945" s="17">
        <v>33.1</v>
      </c>
      <c r="R945" s="17">
        <f t="shared" si="43"/>
        <v>20.299999999999997</v>
      </c>
      <c r="S945" s="17">
        <v>29.8</v>
      </c>
      <c r="T945" s="17">
        <f t="shared" si="44"/>
        <v>17.2</v>
      </c>
    </row>
    <row r="946" spans="1:20" x14ac:dyDescent="0.35">
      <c r="A946" s="14" t="s">
        <v>101</v>
      </c>
      <c r="B946" s="15" t="s">
        <v>102</v>
      </c>
      <c r="C946" s="15" t="s">
        <v>64</v>
      </c>
      <c r="D946" s="15" t="s">
        <v>100</v>
      </c>
      <c r="E946" s="15" t="s">
        <v>90</v>
      </c>
      <c r="F946" s="15" t="s">
        <v>67</v>
      </c>
      <c r="G946" s="15" t="s">
        <v>77</v>
      </c>
      <c r="H946" s="15" t="s">
        <v>71</v>
      </c>
      <c r="I946" s="16">
        <v>10632</v>
      </c>
      <c r="J946" s="16">
        <v>10227</v>
      </c>
      <c r="K946" s="16">
        <v>10446</v>
      </c>
      <c r="L946" s="17">
        <v>90.2</v>
      </c>
      <c r="M946" s="17">
        <v>10.4</v>
      </c>
      <c r="N946" s="17">
        <f t="shared" si="42"/>
        <v>79.8</v>
      </c>
      <c r="O946" s="17">
        <v>72.900000000000006</v>
      </c>
      <c r="P946" s="17">
        <v>78</v>
      </c>
      <c r="Q946" s="17">
        <v>48.6</v>
      </c>
      <c r="R946" s="17">
        <f t="shared" si="43"/>
        <v>31.199999999999996</v>
      </c>
      <c r="S946" s="17">
        <v>44.7</v>
      </c>
      <c r="T946" s="17">
        <f t="shared" si="44"/>
        <v>28.200000000000003</v>
      </c>
    </row>
    <row r="947" spans="1:20" x14ac:dyDescent="0.35">
      <c r="A947" s="14" t="s">
        <v>101</v>
      </c>
      <c r="B947" s="15" t="s">
        <v>102</v>
      </c>
      <c r="C947" s="15" t="s">
        <v>64</v>
      </c>
      <c r="D947" s="15" t="s">
        <v>100</v>
      </c>
      <c r="E947" s="15" t="s">
        <v>90</v>
      </c>
      <c r="F947" s="15" t="s">
        <v>67</v>
      </c>
      <c r="G947" s="15" t="s">
        <v>78</v>
      </c>
      <c r="H947" s="15" t="s">
        <v>71</v>
      </c>
      <c r="I947" s="16">
        <v>12699</v>
      </c>
      <c r="J947" s="16">
        <v>12081</v>
      </c>
      <c r="K947" s="16">
        <v>12535</v>
      </c>
      <c r="L947" s="17">
        <v>99.1</v>
      </c>
      <c r="M947" s="17">
        <v>10.3</v>
      </c>
      <c r="N947" s="17">
        <f t="shared" si="42"/>
        <v>88.8</v>
      </c>
      <c r="O947" s="17">
        <v>81.099999999999994</v>
      </c>
      <c r="P947" s="17">
        <v>87.1</v>
      </c>
      <c r="Q947" s="17">
        <v>55</v>
      </c>
      <c r="R947" s="17">
        <f t="shared" si="43"/>
        <v>33.799999999999997</v>
      </c>
      <c r="S947" s="17">
        <v>51.2</v>
      </c>
      <c r="T947" s="17">
        <f t="shared" si="44"/>
        <v>29.899999999999991</v>
      </c>
    </row>
    <row r="948" spans="1:20" x14ac:dyDescent="0.35">
      <c r="A948" s="14" t="s">
        <v>101</v>
      </c>
      <c r="B948" s="15" t="s">
        <v>102</v>
      </c>
      <c r="C948" s="15" t="s">
        <v>64</v>
      </c>
      <c r="D948" s="15" t="s">
        <v>100</v>
      </c>
      <c r="E948" s="15" t="s">
        <v>90</v>
      </c>
      <c r="F948" s="15" t="s">
        <v>79</v>
      </c>
      <c r="G948" s="15" t="s">
        <v>80</v>
      </c>
      <c r="H948" s="15" t="s">
        <v>71</v>
      </c>
      <c r="I948" s="16">
        <v>22287</v>
      </c>
      <c r="J948" s="16">
        <v>21030</v>
      </c>
      <c r="K948" s="16">
        <v>21861</v>
      </c>
      <c r="L948" s="17">
        <v>118.6</v>
      </c>
      <c r="M948" s="17">
        <v>12.4</v>
      </c>
      <c r="N948" s="17">
        <f t="shared" si="42"/>
        <v>106.19999999999999</v>
      </c>
      <c r="O948" s="17">
        <v>95.3</v>
      </c>
      <c r="P948" s="17">
        <v>104.5</v>
      </c>
      <c r="Q948" s="17">
        <v>64.400000000000006</v>
      </c>
      <c r="R948" s="17">
        <f t="shared" si="43"/>
        <v>41.799999999999983</v>
      </c>
      <c r="S948" s="17">
        <v>58.3</v>
      </c>
      <c r="T948" s="17">
        <f t="shared" si="44"/>
        <v>37</v>
      </c>
    </row>
    <row r="949" spans="1:20" x14ac:dyDescent="0.35">
      <c r="A949" s="14" t="s">
        <v>101</v>
      </c>
      <c r="B949" s="15" t="s">
        <v>102</v>
      </c>
      <c r="C949" s="15" t="s">
        <v>64</v>
      </c>
      <c r="D949" s="15" t="s">
        <v>100</v>
      </c>
      <c r="E949" s="15" t="s">
        <v>90</v>
      </c>
      <c r="F949" s="15" t="s">
        <v>81</v>
      </c>
      <c r="G949" s="15" t="s">
        <v>82</v>
      </c>
      <c r="H949" s="15" t="s">
        <v>71</v>
      </c>
      <c r="I949" s="16">
        <v>6819</v>
      </c>
      <c r="J949" s="16">
        <v>6242</v>
      </c>
      <c r="K949" s="16">
        <v>6761</v>
      </c>
      <c r="L949" s="17">
        <v>73.7</v>
      </c>
      <c r="M949" s="17">
        <v>8.5</v>
      </c>
      <c r="N949" s="17">
        <f t="shared" si="42"/>
        <v>65.2</v>
      </c>
      <c r="O949" s="17">
        <v>56.8</v>
      </c>
      <c r="P949" s="17">
        <v>63.3</v>
      </c>
      <c r="Q949" s="17">
        <v>39.700000000000003</v>
      </c>
      <c r="R949" s="17">
        <f t="shared" si="43"/>
        <v>25.5</v>
      </c>
      <c r="S949" s="17">
        <v>34.9</v>
      </c>
      <c r="T949" s="17">
        <f t="shared" si="44"/>
        <v>21.9</v>
      </c>
    </row>
    <row r="950" spans="1:20" x14ac:dyDescent="0.35">
      <c r="A950" s="14" t="s">
        <v>101</v>
      </c>
      <c r="B950" s="15" t="s">
        <v>102</v>
      </c>
      <c r="C950" s="15" t="s">
        <v>64</v>
      </c>
      <c r="D950" s="15" t="s">
        <v>100</v>
      </c>
      <c r="E950" s="15" t="s">
        <v>90</v>
      </c>
      <c r="F950" s="15" t="s">
        <v>83</v>
      </c>
      <c r="G950" s="15" t="s">
        <v>84</v>
      </c>
      <c r="H950" s="15" t="s">
        <v>72</v>
      </c>
      <c r="I950" s="16">
        <v>3847</v>
      </c>
      <c r="J950" s="16">
        <v>3167</v>
      </c>
      <c r="K950" s="16">
        <v>3794</v>
      </c>
      <c r="L950" s="17">
        <v>134</v>
      </c>
      <c r="M950" s="17">
        <v>13.7</v>
      </c>
      <c r="N950" s="17">
        <f t="shared" si="42"/>
        <v>120.3</v>
      </c>
      <c r="O950" s="17">
        <v>94.3</v>
      </c>
      <c r="P950" s="17">
        <v>117.5</v>
      </c>
      <c r="Q950" s="17">
        <v>69.2</v>
      </c>
      <c r="R950" s="17">
        <f t="shared" si="43"/>
        <v>51.099999999999994</v>
      </c>
      <c r="S950" s="17">
        <v>54.8</v>
      </c>
      <c r="T950" s="17">
        <f t="shared" si="44"/>
        <v>39.5</v>
      </c>
    </row>
    <row r="951" spans="1:20" x14ac:dyDescent="0.35">
      <c r="A951" s="14" t="s">
        <v>101</v>
      </c>
      <c r="B951" s="15" t="s">
        <v>102</v>
      </c>
      <c r="C951" s="15" t="s">
        <v>64</v>
      </c>
      <c r="D951" s="15" t="s">
        <v>100</v>
      </c>
      <c r="E951" s="15" t="s">
        <v>90</v>
      </c>
      <c r="F951" s="15" t="s">
        <v>85</v>
      </c>
      <c r="G951" s="15" t="s">
        <v>86</v>
      </c>
      <c r="H951" s="15" t="s">
        <v>72</v>
      </c>
      <c r="I951" s="16">
        <v>2962</v>
      </c>
      <c r="J951" s="16">
        <v>2729</v>
      </c>
      <c r="K951" s="16">
        <v>2909</v>
      </c>
      <c r="L951" s="17">
        <v>59.4</v>
      </c>
      <c r="M951" s="17">
        <v>6.6</v>
      </c>
      <c r="N951" s="17">
        <f t="shared" si="42"/>
        <v>52.8</v>
      </c>
      <c r="O951" s="17">
        <v>46.5</v>
      </c>
      <c r="P951" s="17">
        <v>51.2</v>
      </c>
      <c r="Q951" s="17">
        <v>35.6</v>
      </c>
      <c r="R951" s="17">
        <f t="shared" si="43"/>
        <v>17.199999999999996</v>
      </c>
      <c r="S951" s="17">
        <v>31.7</v>
      </c>
      <c r="T951" s="17">
        <f t="shared" si="44"/>
        <v>14.8</v>
      </c>
    </row>
    <row r="952" spans="1:20" x14ac:dyDescent="0.35">
      <c r="A952" s="14" t="s">
        <v>101</v>
      </c>
      <c r="B952" s="15" t="s">
        <v>102</v>
      </c>
      <c r="C952" s="15" t="s">
        <v>64</v>
      </c>
      <c r="D952" s="15" t="s">
        <v>100</v>
      </c>
      <c r="E952" s="15" t="s">
        <v>91</v>
      </c>
      <c r="F952" s="15" t="s">
        <v>67</v>
      </c>
      <c r="G952" s="15" t="s">
        <v>68</v>
      </c>
      <c r="H952" s="15" t="s">
        <v>69</v>
      </c>
      <c r="I952" s="16">
        <v>24985</v>
      </c>
      <c r="J952" s="16">
        <v>23160</v>
      </c>
      <c r="K952" s="16">
        <v>24468</v>
      </c>
      <c r="L952" s="17">
        <v>165.5</v>
      </c>
      <c r="M952" s="17">
        <v>6.9</v>
      </c>
      <c r="N952" s="17">
        <f t="shared" si="42"/>
        <v>158.6</v>
      </c>
      <c r="O952" s="17">
        <v>141</v>
      </c>
      <c r="P952" s="17">
        <v>155.1</v>
      </c>
      <c r="Q952" s="17">
        <v>89</v>
      </c>
      <c r="R952" s="17">
        <f t="shared" si="43"/>
        <v>69.599999999999994</v>
      </c>
      <c r="S952" s="17">
        <v>81.099999999999994</v>
      </c>
      <c r="T952" s="17">
        <f t="shared" si="44"/>
        <v>59.900000000000006</v>
      </c>
    </row>
    <row r="953" spans="1:20" x14ac:dyDescent="0.35">
      <c r="A953" s="14" t="s">
        <v>101</v>
      </c>
      <c r="B953" s="15" t="s">
        <v>102</v>
      </c>
      <c r="C953" s="15" t="s">
        <v>64</v>
      </c>
      <c r="D953" s="15" t="s">
        <v>100</v>
      </c>
      <c r="E953" s="15" t="s">
        <v>91</v>
      </c>
      <c r="F953" s="15" t="s">
        <v>67</v>
      </c>
      <c r="G953" s="15" t="s">
        <v>68</v>
      </c>
      <c r="H953" s="15" t="s">
        <v>70</v>
      </c>
      <c r="I953" s="16">
        <v>10961</v>
      </c>
      <c r="J953" s="16">
        <v>9978</v>
      </c>
      <c r="K953" s="16">
        <v>10739</v>
      </c>
      <c r="L953" s="17">
        <v>84.6</v>
      </c>
      <c r="M953" s="17">
        <v>4.9000000000000004</v>
      </c>
      <c r="N953" s="17">
        <f t="shared" si="42"/>
        <v>79.699999999999989</v>
      </c>
      <c r="O953" s="17">
        <v>69.099999999999994</v>
      </c>
      <c r="P953" s="17">
        <v>78.3</v>
      </c>
      <c r="Q953" s="17">
        <v>46.1</v>
      </c>
      <c r="R953" s="17">
        <f t="shared" si="43"/>
        <v>33.599999999999987</v>
      </c>
      <c r="S953" s="17">
        <v>40.5</v>
      </c>
      <c r="T953" s="17">
        <f t="shared" si="44"/>
        <v>28.599999999999994</v>
      </c>
    </row>
    <row r="954" spans="1:20" x14ac:dyDescent="0.35">
      <c r="A954" s="14" t="s">
        <v>101</v>
      </c>
      <c r="B954" s="15" t="s">
        <v>102</v>
      </c>
      <c r="C954" s="15" t="s">
        <v>64</v>
      </c>
      <c r="D954" s="15" t="s">
        <v>100</v>
      </c>
      <c r="E954" s="15" t="s">
        <v>91</v>
      </c>
      <c r="F954" s="15" t="s">
        <v>67</v>
      </c>
      <c r="G954" s="15" t="s">
        <v>68</v>
      </c>
      <c r="H954" s="15" t="s">
        <v>71</v>
      </c>
      <c r="I954" s="16">
        <v>23558</v>
      </c>
      <c r="J954" s="16">
        <v>21896</v>
      </c>
      <c r="K954" s="16">
        <v>23140</v>
      </c>
      <c r="L954" s="17">
        <v>228.6</v>
      </c>
      <c r="M954" s="17">
        <v>10.1</v>
      </c>
      <c r="N954" s="17">
        <f t="shared" si="42"/>
        <v>218.5</v>
      </c>
      <c r="O954" s="17">
        <v>195.4</v>
      </c>
      <c r="P954" s="17">
        <v>213</v>
      </c>
      <c r="Q954" s="17">
        <v>136.4</v>
      </c>
      <c r="R954" s="17">
        <f t="shared" si="43"/>
        <v>82.1</v>
      </c>
      <c r="S954" s="17">
        <v>123.3</v>
      </c>
      <c r="T954" s="17">
        <f t="shared" si="44"/>
        <v>72.100000000000009</v>
      </c>
    </row>
    <row r="955" spans="1:20" x14ac:dyDescent="0.35">
      <c r="A955" s="14" t="s">
        <v>101</v>
      </c>
      <c r="B955" s="15" t="s">
        <v>102</v>
      </c>
      <c r="C955" s="15" t="s">
        <v>64</v>
      </c>
      <c r="D955" s="15" t="s">
        <v>100</v>
      </c>
      <c r="E955" s="15" t="s">
        <v>91</v>
      </c>
      <c r="F955" s="15" t="s">
        <v>67</v>
      </c>
      <c r="G955" s="15" t="s">
        <v>68</v>
      </c>
      <c r="H955" s="15" t="s">
        <v>72</v>
      </c>
      <c r="I955" s="16">
        <v>11690</v>
      </c>
      <c r="J955" s="16">
        <v>10578</v>
      </c>
      <c r="K955" s="16">
        <v>11513</v>
      </c>
      <c r="L955" s="17">
        <v>158.4</v>
      </c>
      <c r="M955" s="17">
        <v>8.6999999999999993</v>
      </c>
      <c r="N955" s="17">
        <f t="shared" si="42"/>
        <v>149.70000000000002</v>
      </c>
      <c r="O955" s="17">
        <v>130.4</v>
      </c>
      <c r="P955" s="17">
        <v>146.19999999999999</v>
      </c>
      <c r="Q955" s="17">
        <v>95.6</v>
      </c>
      <c r="R955" s="17">
        <f t="shared" si="43"/>
        <v>54.100000000000023</v>
      </c>
      <c r="S955" s="17">
        <v>84.7</v>
      </c>
      <c r="T955" s="17">
        <f t="shared" si="44"/>
        <v>45.7</v>
      </c>
    </row>
    <row r="956" spans="1:20" x14ac:dyDescent="0.35">
      <c r="A956" s="14" t="s">
        <v>101</v>
      </c>
      <c r="B956" s="15" t="s">
        <v>102</v>
      </c>
      <c r="C956" s="15" t="s">
        <v>64</v>
      </c>
      <c r="D956" s="15" t="s">
        <v>100</v>
      </c>
      <c r="E956" s="15" t="s">
        <v>91</v>
      </c>
      <c r="F956" s="15" t="s">
        <v>67</v>
      </c>
      <c r="G956" s="15" t="s">
        <v>73</v>
      </c>
      <c r="H956" s="15" t="s">
        <v>71</v>
      </c>
      <c r="I956" s="16">
        <v>5791</v>
      </c>
      <c r="J956" s="16">
        <v>4904</v>
      </c>
      <c r="K956" s="16">
        <v>5714</v>
      </c>
      <c r="L956" s="17">
        <v>57.7</v>
      </c>
      <c r="M956" s="17">
        <v>2.5</v>
      </c>
      <c r="N956" s="17">
        <f t="shared" si="42"/>
        <v>55.2</v>
      </c>
      <c r="O956" s="17">
        <v>44.9</v>
      </c>
      <c r="P956" s="17">
        <v>53.4</v>
      </c>
      <c r="Q956" s="17">
        <v>34.5</v>
      </c>
      <c r="R956" s="17">
        <f t="shared" si="43"/>
        <v>20.700000000000003</v>
      </c>
      <c r="S956" s="17">
        <v>28.3</v>
      </c>
      <c r="T956" s="17">
        <f t="shared" si="44"/>
        <v>16.599999999999998</v>
      </c>
    </row>
    <row r="957" spans="1:20" x14ac:dyDescent="0.35">
      <c r="A957" s="14" t="s">
        <v>101</v>
      </c>
      <c r="B957" s="15" t="s">
        <v>102</v>
      </c>
      <c r="C957" s="15" t="s">
        <v>64</v>
      </c>
      <c r="D957" s="15" t="s">
        <v>100</v>
      </c>
      <c r="E957" s="15" t="s">
        <v>91</v>
      </c>
      <c r="F957" s="15" t="s">
        <v>67</v>
      </c>
      <c r="G957" s="15" t="s">
        <v>73</v>
      </c>
      <c r="H957" s="15" t="s">
        <v>72</v>
      </c>
      <c r="I957" s="16">
        <v>3847</v>
      </c>
      <c r="J957" s="16">
        <v>3231</v>
      </c>
      <c r="K957" s="16">
        <v>3792</v>
      </c>
      <c r="L957" s="17">
        <v>50.3</v>
      </c>
      <c r="M957" s="17">
        <v>2.2000000000000002</v>
      </c>
      <c r="N957" s="17">
        <f t="shared" si="42"/>
        <v>48.099999999999994</v>
      </c>
      <c r="O957" s="17">
        <v>38.799999999999997</v>
      </c>
      <c r="P957" s="17">
        <v>47.1</v>
      </c>
      <c r="Q957" s="17">
        <v>31.1</v>
      </c>
      <c r="R957" s="17">
        <f t="shared" si="43"/>
        <v>16.999999999999993</v>
      </c>
      <c r="S957" s="17">
        <v>25.3</v>
      </c>
      <c r="T957" s="17">
        <f t="shared" si="44"/>
        <v>13.499999999999996</v>
      </c>
    </row>
    <row r="958" spans="1:20" x14ac:dyDescent="0.35">
      <c r="A958" s="14" t="s">
        <v>101</v>
      </c>
      <c r="B958" s="15" t="s">
        <v>102</v>
      </c>
      <c r="C958" s="15" t="s">
        <v>64</v>
      </c>
      <c r="D958" s="15" t="s">
        <v>100</v>
      </c>
      <c r="E958" s="15" t="s">
        <v>91</v>
      </c>
      <c r="F958" s="15" t="s">
        <v>67</v>
      </c>
      <c r="G958" s="15" t="s">
        <v>74</v>
      </c>
      <c r="H958" s="15" t="s">
        <v>70</v>
      </c>
      <c r="I958" s="16">
        <v>4943</v>
      </c>
      <c r="J958" s="16">
        <v>4493</v>
      </c>
      <c r="K958" s="16">
        <v>4903</v>
      </c>
      <c r="L958" s="17">
        <v>37.700000000000003</v>
      </c>
      <c r="M958" s="17">
        <v>1.6</v>
      </c>
      <c r="N958" s="17">
        <f t="shared" si="42"/>
        <v>36.1</v>
      </c>
      <c r="O958" s="17">
        <v>31.2</v>
      </c>
      <c r="P958" s="17">
        <v>35.200000000000003</v>
      </c>
      <c r="Q958" s="17">
        <v>21</v>
      </c>
      <c r="R958" s="17">
        <f t="shared" si="43"/>
        <v>15.100000000000001</v>
      </c>
      <c r="S958" s="17">
        <v>18.399999999999999</v>
      </c>
      <c r="T958" s="17">
        <f t="shared" si="44"/>
        <v>12.8</v>
      </c>
    </row>
    <row r="959" spans="1:20" x14ac:dyDescent="0.35">
      <c r="A959" s="14" t="s">
        <v>101</v>
      </c>
      <c r="B959" s="15" t="s">
        <v>102</v>
      </c>
      <c r="C959" s="15" t="s">
        <v>64</v>
      </c>
      <c r="D959" s="15" t="s">
        <v>100</v>
      </c>
      <c r="E959" s="15" t="s">
        <v>91</v>
      </c>
      <c r="F959" s="15" t="s">
        <v>67</v>
      </c>
      <c r="G959" s="15" t="s">
        <v>74</v>
      </c>
      <c r="H959" s="15" t="s">
        <v>71</v>
      </c>
      <c r="I959" s="16">
        <v>8044</v>
      </c>
      <c r="J959" s="16">
        <v>7269</v>
      </c>
      <c r="K959" s="16">
        <v>7911</v>
      </c>
      <c r="L959" s="17">
        <v>76.400000000000006</v>
      </c>
      <c r="M959" s="17">
        <v>3.4</v>
      </c>
      <c r="N959" s="17">
        <f t="shared" si="42"/>
        <v>73</v>
      </c>
      <c r="O959" s="17">
        <v>62.7</v>
      </c>
      <c r="P959" s="17">
        <v>71</v>
      </c>
      <c r="Q959" s="17">
        <v>44.4</v>
      </c>
      <c r="R959" s="17">
        <f t="shared" si="43"/>
        <v>28.6</v>
      </c>
      <c r="S959" s="17">
        <v>38.700000000000003</v>
      </c>
      <c r="T959" s="17">
        <f t="shared" si="44"/>
        <v>24</v>
      </c>
    </row>
    <row r="960" spans="1:20" x14ac:dyDescent="0.35">
      <c r="A960" s="14" t="s">
        <v>101</v>
      </c>
      <c r="B960" s="15" t="s">
        <v>102</v>
      </c>
      <c r="C960" s="15" t="s">
        <v>64</v>
      </c>
      <c r="D960" s="15" t="s">
        <v>100</v>
      </c>
      <c r="E960" s="15" t="s">
        <v>91</v>
      </c>
      <c r="F960" s="15" t="s">
        <v>67</v>
      </c>
      <c r="G960" s="15" t="s">
        <v>75</v>
      </c>
      <c r="H960" s="15" t="s">
        <v>71</v>
      </c>
      <c r="I960" s="16">
        <v>6650</v>
      </c>
      <c r="J960" s="16">
        <v>6153</v>
      </c>
      <c r="K960" s="16">
        <v>6538</v>
      </c>
      <c r="L960" s="17">
        <v>62.4</v>
      </c>
      <c r="M960" s="17">
        <v>3.6</v>
      </c>
      <c r="N960" s="17">
        <f t="shared" si="42"/>
        <v>58.8</v>
      </c>
      <c r="O960" s="17">
        <v>51.8</v>
      </c>
      <c r="P960" s="17">
        <v>57.7</v>
      </c>
      <c r="Q960" s="17">
        <v>36.799999999999997</v>
      </c>
      <c r="R960" s="17">
        <f t="shared" si="43"/>
        <v>22</v>
      </c>
      <c r="S960" s="17">
        <v>32.9</v>
      </c>
      <c r="T960" s="17">
        <f t="shared" si="44"/>
        <v>18.899999999999999</v>
      </c>
    </row>
    <row r="961" spans="1:20" x14ac:dyDescent="0.35">
      <c r="A961" s="14" t="s">
        <v>101</v>
      </c>
      <c r="B961" s="15" t="s">
        <v>102</v>
      </c>
      <c r="C961" s="15" t="s">
        <v>64</v>
      </c>
      <c r="D961" s="15" t="s">
        <v>100</v>
      </c>
      <c r="E961" s="15" t="s">
        <v>91</v>
      </c>
      <c r="F961" s="15" t="s">
        <v>67</v>
      </c>
      <c r="G961" s="15" t="s">
        <v>76</v>
      </c>
      <c r="H961" s="15" t="s">
        <v>72</v>
      </c>
      <c r="I961" s="16">
        <v>7251</v>
      </c>
      <c r="J961" s="16">
        <v>6380</v>
      </c>
      <c r="K961" s="16">
        <v>7183</v>
      </c>
      <c r="L961" s="17">
        <v>114.5</v>
      </c>
      <c r="M961" s="17">
        <v>5.0999999999999996</v>
      </c>
      <c r="N961" s="17">
        <f t="shared" si="42"/>
        <v>109.4</v>
      </c>
      <c r="O961" s="17">
        <v>92.8</v>
      </c>
      <c r="P961" s="17">
        <v>107.7</v>
      </c>
      <c r="Q961" s="17">
        <v>67.400000000000006</v>
      </c>
      <c r="R961" s="17">
        <f t="shared" si="43"/>
        <v>42</v>
      </c>
      <c r="S961" s="17">
        <v>58.2</v>
      </c>
      <c r="T961" s="17">
        <f t="shared" si="44"/>
        <v>34.599999999999994</v>
      </c>
    </row>
    <row r="962" spans="1:20" x14ac:dyDescent="0.35">
      <c r="A962" s="14" t="s">
        <v>101</v>
      </c>
      <c r="B962" s="15" t="s">
        <v>102</v>
      </c>
      <c r="C962" s="15" t="s">
        <v>64</v>
      </c>
      <c r="D962" s="15" t="s">
        <v>100</v>
      </c>
      <c r="E962" s="15" t="s">
        <v>91</v>
      </c>
      <c r="F962" s="15" t="s">
        <v>67</v>
      </c>
      <c r="G962" s="15" t="s">
        <v>77</v>
      </c>
      <c r="H962" s="15" t="s">
        <v>71</v>
      </c>
      <c r="I962" s="16">
        <v>3247</v>
      </c>
      <c r="J962" s="16">
        <v>2949</v>
      </c>
      <c r="K962" s="16">
        <v>3192</v>
      </c>
      <c r="L962" s="17">
        <v>30.8</v>
      </c>
      <c r="M962" s="17">
        <v>1.5</v>
      </c>
      <c r="N962" s="17">
        <f t="shared" si="42"/>
        <v>29.3</v>
      </c>
      <c r="O962" s="17">
        <v>25.7</v>
      </c>
      <c r="P962" s="17">
        <v>28.5</v>
      </c>
      <c r="Q962" s="17">
        <v>17.8</v>
      </c>
      <c r="R962" s="17">
        <f t="shared" si="43"/>
        <v>11.5</v>
      </c>
      <c r="S962" s="17">
        <v>16</v>
      </c>
      <c r="T962" s="17">
        <f t="shared" si="44"/>
        <v>9.6999999999999993</v>
      </c>
    </row>
    <row r="963" spans="1:20" x14ac:dyDescent="0.35">
      <c r="A963" s="14" t="s">
        <v>101</v>
      </c>
      <c r="B963" s="15" t="s">
        <v>102</v>
      </c>
      <c r="C963" s="15" t="s">
        <v>64</v>
      </c>
      <c r="D963" s="15" t="s">
        <v>100</v>
      </c>
      <c r="E963" s="15" t="s">
        <v>91</v>
      </c>
      <c r="F963" s="15" t="s">
        <v>67</v>
      </c>
      <c r="G963" s="15" t="s">
        <v>78</v>
      </c>
      <c r="H963" s="15" t="s">
        <v>71</v>
      </c>
      <c r="I963" s="16">
        <v>4137</v>
      </c>
      <c r="J963" s="16">
        <v>3731</v>
      </c>
      <c r="K963" s="16">
        <v>4057</v>
      </c>
      <c r="L963" s="17">
        <v>38.5</v>
      </c>
      <c r="M963" s="17">
        <v>1.6</v>
      </c>
      <c r="N963" s="17">
        <f t="shared" si="42"/>
        <v>36.9</v>
      </c>
      <c r="O963" s="17">
        <v>32.1</v>
      </c>
      <c r="P963" s="17">
        <v>35.700000000000003</v>
      </c>
      <c r="Q963" s="17">
        <v>23.3</v>
      </c>
      <c r="R963" s="17">
        <f t="shared" si="43"/>
        <v>13.599999999999998</v>
      </c>
      <c r="S963" s="17">
        <v>20.6</v>
      </c>
      <c r="T963" s="17">
        <f t="shared" si="44"/>
        <v>11.5</v>
      </c>
    </row>
    <row r="964" spans="1:20" x14ac:dyDescent="0.35">
      <c r="A964" s="14" t="s">
        <v>101</v>
      </c>
      <c r="B964" s="15" t="s">
        <v>102</v>
      </c>
      <c r="C964" s="15" t="s">
        <v>64</v>
      </c>
      <c r="D964" s="15" t="s">
        <v>100</v>
      </c>
      <c r="E964" s="15" t="s">
        <v>91</v>
      </c>
      <c r="F964" s="15" t="s">
        <v>79</v>
      </c>
      <c r="G964" s="15" t="s">
        <v>80</v>
      </c>
      <c r="H964" s="15" t="s">
        <v>71</v>
      </c>
      <c r="I964" s="16">
        <v>7145</v>
      </c>
      <c r="J964" s="16">
        <v>6495</v>
      </c>
      <c r="K964" s="16">
        <v>7003</v>
      </c>
      <c r="L964" s="17">
        <v>43.2</v>
      </c>
      <c r="M964" s="17">
        <v>2.5</v>
      </c>
      <c r="N964" s="17">
        <f t="shared" ref="N964:N1027" si="45">L964-M964</f>
        <v>40.700000000000003</v>
      </c>
      <c r="O964" s="17">
        <v>35.4</v>
      </c>
      <c r="P964" s="17">
        <v>39.9</v>
      </c>
      <c r="Q964" s="17">
        <v>24.1</v>
      </c>
      <c r="R964" s="17">
        <f t="shared" ref="R964:R1027" si="46">N964-Q964</f>
        <v>16.600000000000001</v>
      </c>
      <c r="S964" s="17">
        <v>21.3</v>
      </c>
      <c r="T964" s="17">
        <f t="shared" ref="T964:T1027" si="47">O964-S964</f>
        <v>14.099999999999998</v>
      </c>
    </row>
    <row r="965" spans="1:20" x14ac:dyDescent="0.35">
      <c r="A965" s="14" t="s">
        <v>101</v>
      </c>
      <c r="B965" s="15" t="s">
        <v>102</v>
      </c>
      <c r="C965" s="15" t="s">
        <v>64</v>
      </c>
      <c r="D965" s="15" t="s">
        <v>100</v>
      </c>
      <c r="E965" s="15" t="s">
        <v>91</v>
      </c>
      <c r="F965" s="15" t="s">
        <v>81</v>
      </c>
      <c r="G965" s="15" t="s">
        <v>82</v>
      </c>
      <c r="H965" s="15" t="s">
        <v>71</v>
      </c>
      <c r="I965" s="16">
        <v>2024</v>
      </c>
      <c r="J965" s="16">
        <v>1806</v>
      </c>
      <c r="K965" s="16">
        <v>2007</v>
      </c>
      <c r="L965" s="17">
        <v>25.6</v>
      </c>
      <c r="M965" s="17">
        <v>1.3</v>
      </c>
      <c r="N965" s="17">
        <f t="shared" si="45"/>
        <v>24.3</v>
      </c>
      <c r="O965" s="17">
        <v>20.8</v>
      </c>
      <c r="P965" s="17">
        <v>23.7</v>
      </c>
      <c r="Q965" s="17">
        <v>14.9</v>
      </c>
      <c r="R965" s="17">
        <f t="shared" si="46"/>
        <v>9.4</v>
      </c>
      <c r="S965" s="17">
        <v>13</v>
      </c>
      <c r="T965" s="17">
        <f t="shared" si="47"/>
        <v>7.8000000000000007</v>
      </c>
    </row>
    <row r="966" spans="1:20" x14ac:dyDescent="0.35">
      <c r="A966" s="14" t="s">
        <v>101</v>
      </c>
      <c r="B966" s="15" t="s">
        <v>102</v>
      </c>
      <c r="C966" s="15" t="s">
        <v>64</v>
      </c>
      <c r="D966" s="15" t="s">
        <v>100</v>
      </c>
      <c r="E966" s="15" t="s">
        <v>91</v>
      </c>
      <c r="F966" s="15" t="s">
        <v>83</v>
      </c>
      <c r="G966" s="15" t="s">
        <v>84</v>
      </c>
      <c r="H966" s="15" t="s">
        <v>72</v>
      </c>
      <c r="I966" s="16">
        <v>2048</v>
      </c>
      <c r="J966" s="16">
        <v>1647</v>
      </c>
      <c r="K966" s="16">
        <v>2008</v>
      </c>
      <c r="L966" s="17">
        <v>79.8</v>
      </c>
      <c r="M966" s="17">
        <v>3.9</v>
      </c>
      <c r="N966" s="17">
        <f t="shared" si="45"/>
        <v>75.899999999999991</v>
      </c>
      <c r="O966" s="17">
        <v>58.9</v>
      </c>
      <c r="P966" s="17">
        <v>74.099999999999994</v>
      </c>
      <c r="Q966" s="17">
        <v>44.9</v>
      </c>
      <c r="R966" s="17">
        <f t="shared" si="46"/>
        <v>30.999999999999993</v>
      </c>
      <c r="S966" s="17">
        <v>35.4</v>
      </c>
      <c r="T966" s="17">
        <f t="shared" si="47"/>
        <v>23.5</v>
      </c>
    </row>
    <row r="967" spans="1:20" x14ac:dyDescent="0.35">
      <c r="A967" s="14" t="s">
        <v>101</v>
      </c>
      <c r="B967" s="15" t="s">
        <v>102</v>
      </c>
      <c r="C967" s="15" t="s">
        <v>64</v>
      </c>
      <c r="D967" s="15" t="s">
        <v>100</v>
      </c>
      <c r="E967" s="15" t="s">
        <v>91</v>
      </c>
      <c r="F967" s="15" t="s">
        <v>85</v>
      </c>
      <c r="G967" s="15" t="s">
        <v>86</v>
      </c>
      <c r="H967" s="15" t="s">
        <v>72</v>
      </c>
      <c r="I967" s="16">
        <v>1797</v>
      </c>
      <c r="J967" s="16">
        <v>1609</v>
      </c>
      <c r="K967" s="16">
        <v>1777</v>
      </c>
      <c r="L967" s="17">
        <v>43.3</v>
      </c>
      <c r="M967" s="17">
        <v>2.2000000000000002</v>
      </c>
      <c r="N967" s="17">
        <f t="shared" si="45"/>
        <v>41.099999999999994</v>
      </c>
      <c r="O967" s="17">
        <v>35.1</v>
      </c>
      <c r="P967" s="17">
        <v>40.4</v>
      </c>
      <c r="Q967" s="17">
        <v>27.5</v>
      </c>
      <c r="R967" s="17">
        <f t="shared" si="46"/>
        <v>13.599999999999994</v>
      </c>
      <c r="S967" s="17">
        <v>23.7</v>
      </c>
      <c r="T967" s="17">
        <f t="shared" si="47"/>
        <v>11.400000000000002</v>
      </c>
    </row>
    <row r="968" spans="1:20" x14ac:dyDescent="0.35">
      <c r="A968" s="14" t="s">
        <v>101</v>
      </c>
      <c r="B968" s="15" t="s">
        <v>102</v>
      </c>
      <c r="C968" s="15" t="s">
        <v>64</v>
      </c>
      <c r="D968" s="15" t="s">
        <v>100</v>
      </c>
      <c r="E968" s="15" t="s">
        <v>92</v>
      </c>
      <c r="F968" s="15" t="s">
        <v>67</v>
      </c>
      <c r="G968" s="15" t="s">
        <v>68</v>
      </c>
      <c r="H968" s="15" t="s">
        <v>69</v>
      </c>
      <c r="I968" s="16">
        <v>26541</v>
      </c>
      <c r="J968" s="16">
        <v>21180</v>
      </c>
      <c r="K968" s="16">
        <v>26037</v>
      </c>
      <c r="L968" s="17">
        <v>164.2</v>
      </c>
      <c r="M968" s="17">
        <v>14.7</v>
      </c>
      <c r="N968" s="17">
        <f t="shared" si="45"/>
        <v>149.5</v>
      </c>
      <c r="O968" s="17">
        <v>114.2</v>
      </c>
      <c r="P968" s="17">
        <v>145.5</v>
      </c>
      <c r="Q968" s="17">
        <v>80</v>
      </c>
      <c r="R968" s="17">
        <f t="shared" si="46"/>
        <v>69.5</v>
      </c>
      <c r="S968" s="17">
        <v>61.7</v>
      </c>
      <c r="T968" s="17">
        <f t="shared" si="47"/>
        <v>52.5</v>
      </c>
    </row>
    <row r="969" spans="1:20" x14ac:dyDescent="0.35">
      <c r="A969" s="14" t="s">
        <v>101</v>
      </c>
      <c r="B969" s="15" t="s">
        <v>102</v>
      </c>
      <c r="C969" s="15" t="s">
        <v>64</v>
      </c>
      <c r="D969" s="15" t="s">
        <v>100</v>
      </c>
      <c r="E969" s="15" t="s">
        <v>92</v>
      </c>
      <c r="F969" s="15" t="s">
        <v>67</v>
      </c>
      <c r="G969" s="15" t="s">
        <v>68</v>
      </c>
      <c r="H969" s="15" t="s">
        <v>70</v>
      </c>
      <c r="I969" s="16">
        <v>34313</v>
      </c>
      <c r="J969" s="16">
        <v>26635</v>
      </c>
      <c r="K969" s="16">
        <v>33647</v>
      </c>
      <c r="L969" s="17">
        <v>250.1</v>
      </c>
      <c r="M969" s="17">
        <v>21.1</v>
      </c>
      <c r="N969" s="17">
        <f t="shared" si="45"/>
        <v>229</v>
      </c>
      <c r="O969" s="17">
        <v>170.7</v>
      </c>
      <c r="P969" s="17">
        <v>224.4</v>
      </c>
      <c r="Q969" s="17">
        <v>129</v>
      </c>
      <c r="R969" s="17">
        <f t="shared" si="46"/>
        <v>100</v>
      </c>
      <c r="S969" s="17">
        <v>98.5</v>
      </c>
      <c r="T969" s="17">
        <f t="shared" si="47"/>
        <v>72.199999999999989</v>
      </c>
    </row>
    <row r="970" spans="1:20" x14ac:dyDescent="0.35">
      <c r="A970" s="14" t="s">
        <v>101</v>
      </c>
      <c r="B970" s="15" t="s">
        <v>102</v>
      </c>
      <c r="C970" s="15" t="s">
        <v>64</v>
      </c>
      <c r="D970" s="15" t="s">
        <v>100</v>
      </c>
      <c r="E970" s="15" t="s">
        <v>92</v>
      </c>
      <c r="F970" s="15" t="s">
        <v>67</v>
      </c>
      <c r="G970" s="15" t="s">
        <v>68</v>
      </c>
      <c r="H970" s="15" t="s">
        <v>71</v>
      </c>
      <c r="I970" s="16">
        <v>42196</v>
      </c>
      <c r="J970" s="16">
        <v>33033</v>
      </c>
      <c r="K970" s="16">
        <v>41433</v>
      </c>
      <c r="L970" s="17">
        <v>374.6</v>
      </c>
      <c r="M970" s="17">
        <v>29.6</v>
      </c>
      <c r="N970" s="17">
        <f t="shared" si="45"/>
        <v>345</v>
      </c>
      <c r="O970" s="17">
        <v>256.60000000000002</v>
      </c>
      <c r="P970" s="17">
        <v>336.5</v>
      </c>
      <c r="Q970" s="17">
        <v>209.9</v>
      </c>
      <c r="R970" s="17">
        <f t="shared" si="46"/>
        <v>135.1</v>
      </c>
      <c r="S970" s="17">
        <v>158.1</v>
      </c>
      <c r="T970" s="17">
        <f t="shared" si="47"/>
        <v>98.500000000000028</v>
      </c>
    </row>
    <row r="971" spans="1:20" x14ac:dyDescent="0.35">
      <c r="A971" s="14" t="s">
        <v>101</v>
      </c>
      <c r="B971" s="15" t="s">
        <v>102</v>
      </c>
      <c r="C971" s="15" t="s">
        <v>64</v>
      </c>
      <c r="D971" s="15" t="s">
        <v>100</v>
      </c>
      <c r="E971" s="15" t="s">
        <v>92</v>
      </c>
      <c r="F971" s="15" t="s">
        <v>67</v>
      </c>
      <c r="G971" s="15" t="s">
        <v>68</v>
      </c>
      <c r="H971" s="15" t="s">
        <v>72</v>
      </c>
      <c r="I971" s="16">
        <v>9797</v>
      </c>
      <c r="J971" s="16">
        <v>7631</v>
      </c>
      <c r="K971" s="16">
        <v>9703</v>
      </c>
      <c r="L971" s="17">
        <v>118</v>
      </c>
      <c r="M971" s="17">
        <v>9.6999999999999993</v>
      </c>
      <c r="N971" s="17">
        <f t="shared" si="45"/>
        <v>108.3</v>
      </c>
      <c r="O971" s="17">
        <v>80.8</v>
      </c>
      <c r="P971" s="17">
        <v>105</v>
      </c>
      <c r="Q971" s="17">
        <v>69.8</v>
      </c>
      <c r="R971" s="17">
        <f t="shared" si="46"/>
        <v>38.5</v>
      </c>
      <c r="S971" s="17">
        <v>52.5</v>
      </c>
      <c r="T971" s="17">
        <f t="shared" si="47"/>
        <v>28.299999999999997</v>
      </c>
    </row>
    <row r="972" spans="1:20" x14ac:dyDescent="0.35">
      <c r="A972" s="14" t="s">
        <v>101</v>
      </c>
      <c r="B972" s="15" t="s">
        <v>102</v>
      </c>
      <c r="C972" s="15" t="s">
        <v>64</v>
      </c>
      <c r="D972" s="15" t="s">
        <v>100</v>
      </c>
      <c r="E972" s="15" t="s">
        <v>92</v>
      </c>
      <c r="F972" s="15" t="s">
        <v>67</v>
      </c>
      <c r="G972" s="15" t="s">
        <v>73</v>
      </c>
      <c r="H972" s="15" t="s">
        <v>71</v>
      </c>
      <c r="I972" s="16">
        <v>10747</v>
      </c>
      <c r="J972" s="16">
        <v>7849</v>
      </c>
      <c r="K972" s="16">
        <v>10662</v>
      </c>
      <c r="L972" s="17">
        <v>98</v>
      </c>
      <c r="M972" s="17">
        <v>7.1</v>
      </c>
      <c r="N972" s="17">
        <f t="shared" si="45"/>
        <v>90.9</v>
      </c>
      <c r="O972" s="17">
        <v>63.7</v>
      </c>
      <c r="P972" s="17">
        <v>88.1</v>
      </c>
      <c r="Q972" s="17">
        <v>56.8</v>
      </c>
      <c r="R972" s="17">
        <f t="shared" si="46"/>
        <v>34.100000000000009</v>
      </c>
      <c r="S972" s="17">
        <v>40.700000000000003</v>
      </c>
      <c r="T972" s="17">
        <f t="shared" si="47"/>
        <v>23</v>
      </c>
    </row>
    <row r="973" spans="1:20" x14ac:dyDescent="0.35">
      <c r="A973" s="14" t="s">
        <v>101</v>
      </c>
      <c r="B973" s="15" t="s">
        <v>102</v>
      </c>
      <c r="C973" s="15" t="s">
        <v>64</v>
      </c>
      <c r="D973" s="15" t="s">
        <v>100</v>
      </c>
      <c r="E973" s="15" t="s">
        <v>92</v>
      </c>
      <c r="F973" s="15" t="s">
        <v>67</v>
      </c>
      <c r="G973" s="15" t="s">
        <v>73</v>
      </c>
      <c r="H973" s="15" t="s">
        <v>72</v>
      </c>
      <c r="I973" s="16">
        <v>3543</v>
      </c>
      <c r="J973" s="16">
        <v>2531</v>
      </c>
      <c r="K973" s="16">
        <v>3513</v>
      </c>
      <c r="L973" s="17">
        <v>43.6</v>
      </c>
      <c r="M973" s="17">
        <v>3.4</v>
      </c>
      <c r="N973" s="17">
        <f t="shared" si="45"/>
        <v>40.200000000000003</v>
      </c>
      <c r="O973" s="17">
        <v>27.7</v>
      </c>
      <c r="P973" s="17">
        <v>39.200000000000003</v>
      </c>
      <c r="Q973" s="17">
        <v>25.4</v>
      </c>
      <c r="R973" s="17">
        <f t="shared" si="46"/>
        <v>14.800000000000004</v>
      </c>
      <c r="S973" s="17">
        <v>17.8</v>
      </c>
      <c r="T973" s="17">
        <f t="shared" si="47"/>
        <v>9.8999999999999986</v>
      </c>
    </row>
    <row r="974" spans="1:20" x14ac:dyDescent="0.35">
      <c r="A974" s="14" t="s">
        <v>101</v>
      </c>
      <c r="B974" s="15" t="s">
        <v>102</v>
      </c>
      <c r="C974" s="15" t="s">
        <v>64</v>
      </c>
      <c r="D974" s="15" t="s">
        <v>100</v>
      </c>
      <c r="E974" s="15" t="s">
        <v>92</v>
      </c>
      <c r="F974" s="15" t="s">
        <v>67</v>
      </c>
      <c r="G974" s="15" t="s">
        <v>74</v>
      </c>
      <c r="H974" s="15" t="s">
        <v>70</v>
      </c>
      <c r="I974" s="16">
        <v>14319</v>
      </c>
      <c r="J974" s="16">
        <v>11007</v>
      </c>
      <c r="K974" s="16">
        <v>14093</v>
      </c>
      <c r="L974" s="17">
        <v>99.1</v>
      </c>
      <c r="M974" s="17">
        <v>8.6999999999999993</v>
      </c>
      <c r="N974" s="17">
        <f t="shared" si="45"/>
        <v>90.399999999999991</v>
      </c>
      <c r="O974" s="17">
        <v>66</v>
      </c>
      <c r="P974" s="17">
        <v>88</v>
      </c>
      <c r="Q974" s="17">
        <v>51</v>
      </c>
      <c r="R974" s="17">
        <f t="shared" si="46"/>
        <v>39.399999999999991</v>
      </c>
      <c r="S974" s="17">
        <v>37.799999999999997</v>
      </c>
      <c r="T974" s="17">
        <f t="shared" si="47"/>
        <v>28.200000000000003</v>
      </c>
    </row>
    <row r="975" spans="1:20" x14ac:dyDescent="0.35">
      <c r="A975" s="14" t="s">
        <v>101</v>
      </c>
      <c r="B975" s="15" t="s">
        <v>102</v>
      </c>
      <c r="C975" s="15" t="s">
        <v>64</v>
      </c>
      <c r="D975" s="15" t="s">
        <v>100</v>
      </c>
      <c r="E975" s="15" t="s">
        <v>92</v>
      </c>
      <c r="F975" s="15" t="s">
        <v>67</v>
      </c>
      <c r="G975" s="15" t="s">
        <v>74</v>
      </c>
      <c r="H975" s="15" t="s">
        <v>71</v>
      </c>
      <c r="I975" s="16">
        <v>17030</v>
      </c>
      <c r="J975" s="16">
        <v>13332</v>
      </c>
      <c r="K975" s="16">
        <v>16650</v>
      </c>
      <c r="L975" s="17">
        <v>147.5</v>
      </c>
      <c r="M975" s="17">
        <v>13.1</v>
      </c>
      <c r="N975" s="17">
        <f t="shared" si="45"/>
        <v>134.4</v>
      </c>
      <c r="O975" s="17">
        <v>100.8</v>
      </c>
      <c r="P975" s="17">
        <v>130.80000000000001</v>
      </c>
      <c r="Q975" s="17">
        <v>83.2</v>
      </c>
      <c r="R975" s="17">
        <f t="shared" si="46"/>
        <v>51.2</v>
      </c>
      <c r="S975" s="17">
        <v>63.3</v>
      </c>
      <c r="T975" s="17">
        <f t="shared" si="47"/>
        <v>37.5</v>
      </c>
    </row>
    <row r="976" spans="1:20" x14ac:dyDescent="0.35">
      <c r="A976" s="14" t="s">
        <v>101</v>
      </c>
      <c r="B976" s="15" t="s">
        <v>102</v>
      </c>
      <c r="C976" s="15" t="s">
        <v>64</v>
      </c>
      <c r="D976" s="15" t="s">
        <v>100</v>
      </c>
      <c r="E976" s="15" t="s">
        <v>92</v>
      </c>
      <c r="F976" s="15" t="s">
        <v>67</v>
      </c>
      <c r="G976" s="15" t="s">
        <v>75</v>
      </c>
      <c r="H976" s="15" t="s">
        <v>71</v>
      </c>
      <c r="I976" s="16">
        <v>11892</v>
      </c>
      <c r="J976" s="16">
        <v>9383</v>
      </c>
      <c r="K976" s="16">
        <v>11751</v>
      </c>
      <c r="L976" s="17">
        <v>100.9</v>
      </c>
      <c r="M976" s="17">
        <v>7.4</v>
      </c>
      <c r="N976" s="17">
        <f t="shared" si="45"/>
        <v>93.5</v>
      </c>
      <c r="O976" s="17">
        <v>70.599999999999994</v>
      </c>
      <c r="P976" s="17">
        <v>91.3</v>
      </c>
      <c r="Q976" s="17">
        <v>58.7</v>
      </c>
      <c r="R976" s="17">
        <f t="shared" si="46"/>
        <v>34.799999999999997</v>
      </c>
      <c r="S976" s="17">
        <v>45.2</v>
      </c>
      <c r="T976" s="17">
        <f t="shared" si="47"/>
        <v>25.399999999999991</v>
      </c>
    </row>
    <row r="977" spans="1:20" x14ac:dyDescent="0.35">
      <c r="A977" s="14" t="s">
        <v>101</v>
      </c>
      <c r="B977" s="15" t="s">
        <v>102</v>
      </c>
      <c r="C977" s="15" t="s">
        <v>64</v>
      </c>
      <c r="D977" s="15" t="s">
        <v>100</v>
      </c>
      <c r="E977" s="15" t="s">
        <v>92</v>
      </c>
      <c r="F977" s="15" t="s">
        <v>67</v>
      </c>
      <c r="G977" s="15" t="s">
        <v>76</v>
      </c>
      <c r="H977" s="15" t="s">
        <v>72</v>
      </c>
      <c r="I977" s="16">
        <v>2633</v>
      </c>
      <c r="J977" s="16">
        <v>2005</v>
      </c>
      <c r="K977" s="16">
        <v>2600</v>
      </c>
      <c r="L977" s="17">
        <v>38.299999999999997</v>
      </c>
      <c r="M977" s="17">
        <v>2.9</v>
      </c>
      <c r="N977" s="17">
        <f t="shared" si="45"/>
        <v>35.4</v>
      </c>
      <c r="O977" s="17">
        <v>25.7</v>
      </c>
      <c r="P977" s="17">
        <v>34.5</v>
      </c>
      <c r="Q977" s="17">
        <v>22</v>
      </c>
      <c r="R977" s="17">
        <f t="shared" si="46"/>
        <v>13.399999999999999</v>
      </c>
      <c r="S977" s="17">
        <v>16.3</v>
      </c>
      <c r="T977" s="17">
        <f t="shared" si="47"/>
        <v>9.3999999999999986</v>
      </c>
    </row>
    <row r="978" spans="1:20" x14ac:dyDescent="0.35">
      <c r="A978" s="14" t="s">
        <v>101</v>
      </c>
      <c r="B978" s="15" t="s">
        <v>102</v>
      </c>
      <c r="C978" s="15" t="s">
        <v>64</v>
      </c>
      <c r="D978" s="15" t="s">
        <v>100</v>
      </c>
      <c r="E978" s="15" t="s">
        <v>92</v>
      </c>
      <c r="F978" s="15" t="s">
        <v>67</v>
      </c>
      <c r="G978" s="15" t="s">
        <v>77</v>
      </c>
      <c r="H978" s="15" t="s">
        <v>71</v>
      </c>
      <c r="I978" s="16">
        <v>6601</v>
      </c>
      <c r="J978" s="16">
        <v>5159</v>
      </c>
      <c r="K978" s="16">
        <v>6534</v>
      </c>
      <c r="L978" s="17">
        <v>60.6</v>
      </c>
      <c r="M978" s="17">
        <v>5.3</v>
      </c>
      <c r="N978" s="17">
        <f t="shared" si="45"/>
        <v>55.300000000000004</v>
      </c>
      <c r="O978" s="17">
        <v>41.5</v>
      </c>
      <c r="P978" s="17">
        <v>53.9</v>
      </c>
      <c r="Q978" s="17">
        <v>35.1</v>
      </c>
      <c r="R978" s="17">
        <f t="shared" si="46"/>
        <v>20.200000000000003</v>
      </c>
      <c r="S978" s="17">
        <v>26.5</v>
      </c>
      <c r="T978" s="17">
        <f t="shared" si="47"/>
        <v>15</v>
      </c>
    </row>
    <row r="979" spans="1:20" x14ac:dyDescent="0.35">
      <c r="A979" s="14" t="s">
        <v>101</v>
      </c>
      <c r="B979" s="15" t="s">
        <v>102</v>
      </c>
      <c r="C979" s="15" t="s">
        <v>64</v>
      </c>
      <c r="D979" s="15" t="s">
        <v>100</v>
      </c>
      <c r="E979" s="15" t="s">
        <v>92</v>
      </c>
      <c r="F979" s="15" t="s">
        <v>67</v>
      </c>
      <c r="G979" s="15" t="s">
        <v>78</v>
      </c>
      <c r="H979" s="15" t="s">
        <v>71</v>
      </c>
      <c r="I979" s="16">
        <v>8843</v>
      </c>
      <c r="J979" s="16">
        <v>6958</v>
      </c>
      <c r="K979" s="16">
        <v>8740</v>
      </c>
      <c r="L979" s="17">
        <v>76.7</v>
      </c>
      <c r="M979" s="17">
        <v>6.4</v>
      </c>
      <c r="N979" s="17">
        <f t="shared" si="45"/>
        <v>70.3</v>
      </c>
      <c r="O979" s="17">
        <v>52.9</v>
      </c>
      <c r="P979" s="17">
        <v>68.3</v>
      </c>
      <c r="Q979" s="17">
        <v>44.6</v>
      </c>
      <c r="R979" s="17">
        <f t="shared" si="46"/>
        <v>25.699999999999996</v>
      </c>
      <c r="S979" s="17">
        <v>34.299999999999997</v>
      </c>
      <c r="T979" s="17">
        <f t="shared" si="47"/>
        <v>18.600000000000001</v>
      </c>
    </row>
    <row r="980" spans="1:20" x14ac:dyDescent="0.35">
      <c r="A980" s="14" t="s">
        <v>101</v>
      </c>
      <c r="B980" s="15" t="s">
        <v>102</v>
      </c>
      <c r="C980" s="15" t="s">
        <v>64</v>
      </c>
      <c r="D980" s="15" t="s">
        <v>100</v>
      </c>
      <c r="E980" s="15" t="s">
        <v>92</v>
      </c>
      <c r="F980" s="15" t="s">
        <v>79</v>
      </c>
      <c r="G980" s="15" t="s">
        <v>80</v>
      </c>
      <c r="H980" s="15" t="s">
        <v>71</v>
      </c>
      <c r="I980" s="16">
        <v>12416</v>
      </c>
      <c r="J980" s="16">
        <v>9589</v>
      </c>
      <c r="K980" s="16">
        <v>12147</v>
      </c>
      <c r="L980" s="17">
        <v>68.400000000000006</v>
      </c>
      <c r="M980" s="17">
        <v>5.0999999999999996</v>
      </c>
      <c r="N980" s="17">
        <f t="shared" si="45"/>
        <v>63.300000000000004</v>
      </c>
      <c r="O980" s="17">
        <v>46.6</v>
      </c>
      <c r="P980" s="17">
        <v>62.3</v>
      </c>
      <c r="Q980" s="17">
        <v>38.6</v>
      </c>
      <c r="R980" s="17">
        <f t="shared" si="46"/>
        <v>24.700000000000003</v>
      </c>
      <c r="S980" s="17">
        <v>28.9</v>
      </c>
      <c r="T980" s="17">
        <f t="shared" si="47"/>
        <v>17.700000000000003</v>
      </c>
    </row>
    <row r="981" spans="1:20" x14ac:dyDescent="0.35">
      <c r="A981" s="14" t="s">
        <v>101</v>
      </c>
      <c r="B981" s="15" t="s">
        <v>102</v>
      </c>
      <c r="C981" s="15" t="s">
        <v>64</v>
      </c>
      <c r="D981" s="15" t="s">
        <v>100</v>
      </c>
      <c r="E981" s="15" t="s">
        <v>92</v>
      </c>
      <c r="F981" s="15" t="s">
        <v>81</v>
      </c>
      <c r="G981" s="15" t="s">
        <v>82</v>
      </c>
      <c r="H981" s="15" t="s">
        <v>71</v>
      </c>
      <c r="I981" s="16">
        <v>4249</v>
      </c>
      <c r="J981" s="16">
        <v>3223</v>
      </c>
      <c r="K981" s="16">
        <v>4154</v>
      </c>
      <c r="L981" s="17">
        <v>50</v>
      </c>
      <c r="M981" s="17">
        <v>3.7</v>
      </c>
      <c r="N981" s="17">
        <f t="shared" si="45"/>
        <v>46.3</v>
      </c>
      <c r="O981" s="17">
        <v>33.700000000000003</v>
      </c>
      <c r="P981" s="17">
        <v>44.8</v>
      </c>
      <c r="Q981" s="17">
        <v>29</v>
      </c>
      <c r="R981" s="17">
        <f t="shared" si="46"/>
        <v>17.299999999999997</v>
      </c>
      <c r="S981" s="17">
        <v>21.3</v>
      </c>
      <c r="T981" s="17">
        <f t="shared" si="47"/>
        <v>12.400000000000002</v>
      </c>
    </row>
    <row r="982" spans="1:20" x14ac:dyDescent="0.35">
      <c r="A982" s="14" t="s">
        <v>101</v>
      </c>
      <c r="B982" s="15" t="s">
        <v>102</v>
      </c>
      <c r="C982" s="15" t="s">
        <v>64</v>
      </c>
      <c r="D982" s="15" t="s">
        <v>100</v>
      </c>
      <c r="E982" s="15" t="s">
        <v>92</v>
      </c>
      <c r="F982" s="15" t="s">
        <v>83</v>
      </c>
      <c r="G982" s="15" t="s">
        <v>84</v>
      </c>
      <c r="H982" s="15" t="s">
        <v>72</v>
      </c>
      <c r="I982" s="16">
        <v>1951</v>
      </c>
      <c r="J982" s="16">
        <v>1349</v>
      </c>
      <c r="K982" s="16">
        <v>1909</v>
      </c>
      <c r="L982" s="17">
        <v>70.7</v>
      </c>
      <c r="M982" s="17">
        <v>5.7</v>
      </c>
      <c r="N982" s="17">
        <f t="shared" si="45"/>
        <v>65</v>
      </c>
      <c r="O982" s="17">
        <v>42.8</v>
      </c>
      <c r="P982" s="17">
        <v>63.5</v>
      </c>
      <c r="Q982" s="17">
        <v>37.700000000000003</v>
      </c>
      <c r="R982" s="17">
        <f t="shared" si="46"/>
        <v>27.299999999999997</v>
      </c>
      <c r="S982" s="17">
        <v>25.4</v>
      </c>
      <c r="T982" s="17">
        <f t="shared" si="47"/>
        <v>17.399999999999999</v>
      </c>
    </row>
    <row r="983" spans="1:20" x14ac:dyDescent="0.35">
      <c r="A983" s="14" t="s">
        <v>101</v>
      </c>
      <c r="B983" s="15" t="s">
        <v>102</v>
      </c>
      <c r="C983" s="15" t="s">
        <v>64</v>
      </c>
      <c r="D983" s="15" t="s">
        <v>100</v>
      </c>
      <c r="E983" s="15" t="s">
        <v>92</v>
      </c>
      <c r="F983" s="15" t="s">
        <v>85</v>
      </c>
      <c r="G983" s="15" t="s">
        <v>86</v>
      </c>
      <c r="H983" s="15" t="s">
        <v>72</v>
      </c>
      <c r="I983" s="16">
        <v>1715</v>
      </c>
      <c r="J983" s="16">
        <v>1304</v>
      </c>
      <c r="K983" s="16">
        <v>1678</v>
      </c>
      <c r="L983" s="17">
        <v>39</v>
      </c>
      <c r="M983" s="17">
        <v>3.4</v>
      </c>
      <c r="N983" s="17">
        <f t="shared" si="45"/>
        <v>35.6</v>
      </c>
      <c r="O983" s="17">
        <v>25.9</v>
      </c>
      <c r="P983" s="17">
        <v>34.9</v>
      </c>
      <c r="Q983" s="17">
        <v>24</v>
      </c>
      <c r="R983" s="17">
        <f t="shared" si="46"/>
        <v>11.600000000000001</v>
      </c>
      <c r="S983" s="17">
        <v>17.7</v>
      </c>
      <c r="T983" s="17">
        <f t="shared" si="47"/>
        <v>8.1999999999999993</v>
      </c>
    </row>
    <row r="984" spans="1:20" x14ac:dyDescent="0.35">
      <c r="A984" s="14" t="s">
        <v>103</v>
      </c>
      <c r="B984" s="15" t="s">
        <v>104</v>
      </c>
      <c r="C984" s="15" t="s">
        <v>64</v>
      </c>
      <c r="D984" s="15" t="s">
        <v>65</v>
      </c>
      <c r="E984" s="15" t="s">
        <v>66</v>
      </c>
      <c r="F984" s="15" t="s">
        <v>67</v>
      </c>
      <c r="G984" s="15" t="s">
        <v>68</v>
      </c>
      <c r="H984" s="15" t="s">
        <v>69</v>
      </c>
      <c r="I984" s="16">
        <v>283322</v>
      </c>
      <c r="J984" s="16">
        <v>272619</v>
      </c>
      <c r="K984" s="16">
        <v>278437</v>
      </c>
      <c r="L984" s="17">
        <v>1757.5</v>
      </c>
      <c r="M984" s="17">
        <v>229.7</v>
      </c>
      <c r="N984" s="17">
        <f t="shared" si="45"/>
        <v>1527.8</v>
      </c>
      <c r="O984" s="17">
        <v>1412.3</v>
      </c>
      <c r="P984" s="17">
        <v>1491.9</v>
      </c>
      <c r="Q984" s="17">
        <v>852.3</v>
      </c>
      <c r="R984" s="17">
        <f t="shared" si="46"/>
        <v>675.5</v>
      </c>
      <c r="S984" s="17">
        <v>807.3</v>
      </c>
      <c r="T984" s="17">
        <f t="shared" si="47"/>
        <v>605</v>
      </c>
    </row>
    <row r="985" spans="1:20" x14ac:dyDescent="0.35">
      <c r="A985" s="14" t="s">
        <v>103</v>
      </c>
      <c r="B985" s="15" t="s">
        <v>104</v>
      </c>
      <c r="C985" s="15" t="s">
        <v>64</v>
      </c>
      <c r="D985" s="15" t="s">
        <v>65</v>
      </c>
      <c r="E985" s="15" t="s">
        <v>66</v>
      </c>
      <c r="F985" s="15" t="s">
        <v>67</v>
      </c>
      <c r="G985" s="15" t="s">
        <v>68</v>
      </c>
      <c r="H985" s="15" t="s">
        <v>70</v>
      </c>
      <c r="I985" s="16">
        <v>614972</v>
      </c>
      <c r="J985" s="16">
        <v>565918</v>
      </c>
      <c r="K985" s="16">
        <v>606229</v>
      </c>
      <c r="L985" s="17">
        <v>4533.3</v>
      </c>
      <c r="M985" s="17">
        <v>666.9</v>
      </c>
      <c r="N985" s="17">
        <f t="shared" si="45"/>
        <v>3866.4</v>
      </c>
      <c r="O985" s="17">
        <v>3379.7</v>
      </c>
      <c r="P985" s="17">
        <v>3757.3</v>
      </c>
      <c r="Q985" s="17">
        <v>2148.9</v>
      </c>
      <c r="R985" s="17">
        <f t="shared" si="46"/>
        <v>1717.5</v>
      </c>
      <c r="S985" s="17">
        <v>1914.7</v>
      </c>
      <c r="T985" s="17">
        <f t="shared" si="47"/>
        <v>1464.9999999999998</v>
      </c>
    </row>
    <row r="986" spans="1:20" x14ac:dyDescent="0.35">
      <c r="A986" s="14" t="s">
        <v>103</v>
      </c>
      <c r="B986" s="15" t="s">
        <v>104</v>
      </c>
      <c r="C986" s="15" t="s">
        <v>64</v>
      </c>
      <c r="D986" s="15" t="s">
        <v>65</v>
      </c>
      <c r="E986" s="15" t="s">
        <v>66</v>
      </c>
      <c r="F986" s="15" t="s">
        <v>67</v>
      </c>
      <c r="G986" s="15" t="s">
        <v>68</v>
      </c>
      <c r="H986" s="15" t="s">
        <v>71</v>
      </c>
      <c r="I986" s="16">
        <v>1514043</v>
      </c>
      <c r="J986" s="16">
        <v>1444545</v>
      </c>
      <c r="K986" s="16">
        <v>1491233</v>
      </c>
      <c r="L986" s="17">
        <v>13833.9</v>
      </c>
      <c r="M986" s="17">
        <v>1994.6</v>
      </c>
      <c r="N986" s="17">
        <f t="shared" si="45"/>
        <v>11839.3</v>
      </c>
      <c r="O986" s="17">
        <v>10707.1</v>
      </c>
      <c r="P986" s="17">
        <v>11663.1</v>
      </c>
      <c r="Q986" s="17">
        <v>7307</v>
      </c>
      <c r="R986" s="17">
        <f t="shared" si="46"/>
        <v>4532.2999999999993</v>
      </c>
      <c r="S986" s="17">
        <v>6696.8</v>
      </c>
      <c r="T986" s="17">
        <f t="shared" si="47"/>
        <v>4010.3</v>
      </c>
    </row>
    <row r="987" spans="1:20" x14ac:dyDescent="0.35">
      <c r="A987" s="14" t="s">
        <v>103</v>
      </c>
      <c r="B987" s="15" t="s">
        <v>104</v>
      </c>
      <c r="C987" s="15" t="s">
        <v>64</v>
      </c>
      <c r="D987" s="15" t="s">
        <v>65</v>
      </c>
      <c r="E987" s="15" t="s">
        <v>66</v>
      </c>
      <c r="F987" s="15" t="s">
        <v>67</v>
      </c>
      <c r="G987" s="15" t="s">
        <v>68</v>
      </c>
      <c r="H987" s="15" t="s">
        <v>72</v>
      </c>
      <c r="I987" s="16">
        <v>471084</v>
      </c>
      <c r="J987" s="16">
        <v>436382</v>
      </c>
      <c r="K987" s="16">
        <v>467345</v>
      </c>
      <c r="L987" s="17">
        <v>5686.4</v>
      </c>
      <c r="M987" s="17">
        <v>785.1</v>
      </c>
      <c r="N987" s="17">
        <f t="shared" si="45"/>
        <v>4901.2999999999993</v>
      </c>
      <c r="O987" s="17">
        <v>4288</v>
      </c>
      <c r="P987" s="17">
        <v>4828.8999999999996</v>
      </c>
      <c r="Q987" s="17">
        <v>3079.3</v>
      </c>
      <c r="R987" s="17">
        <f t="shared" si="46"/>
        <v>1821.9999999999991</v>
      </c>
      <c r="S987" s="17">
        <v>2731.2</v>
      </c>
      <c r="T987" s="17">
        <f t="shared" si="47"/>
        <v>1556.8000000000002</v>
      </c>
    </row>
    <row r="988" spans="1:20" x14ac:dyDescent="0.35">
      <c r="A988" s="14" t="s">
        <v>103</v>
      </c>
      <c r="B988" s="15" t="s">
        <v>104</v>
      </c>
      <c r="C988" s="15" t="s">
        <v>64</v>
      </c>
      <c r="D988" s="15" t="s">
        <v>65</v>
      </c>
      <c r="E988" s="15" t="s">
        <v>66</v>
      </c>
      <c r="F988" s="15" t="s">
        <v>67</v>
      </c>
      <c r="G988" s="15" t="s">
        <v>73</v>
      </c>
      <c r="H988" s="15" t="s">
        <v>71</v>
      </c>
      <c r="I988" s="16">
        <v>381439</v>
      </c>
      <c r="J988" s="16">
        <v>329957</v>
      </c>
      <c r="K988" s="16">
        <v>378412</v>
      </c>
      <c r="L988" s="17">
        <v>3483</v>
      </c>
      <c r="M988" s="17">
        <v>456.8</v>
      </c>
      <c r="N988" s="17">
        <f t="shared" si="45"/>
        <v>3026.2</v>
      </c>
      <c r="O988" s="17">
        <v>2507.4</v>
      </c>
      <c r="P988" s="17">
        <v>2981.5</v>
      </c>
      <c r="Q988" s="17">
        <v>1878.9</v>
      </c>
      <c r="R988" s="17">
        <f t="shared" si="46"/>
        <v>1147.2999999999997</v>
      </c>
      <c r="S988" s="17">
        <v>1593.5</v>
      </c>
      <c r="T988" s="17">
        <f t="shared" si="47"/>
        <v>913.90000000000009</v>
      </c>
    </row>
    <row r="989" spans="1:20" x14ac:dyDescent="0.35">
      <c r="A989" s="14" t="s">
        <v>103</v>
      </c>
      <c r="B989" s="15" t="s">
        <v>104</v>
      </c>
      <c r="C989" s="15" t="s">
        <v>64</v>
      </c>
      <c r="D989" s="15" t="s">
        <v>65</v>
      </c>
      <c r="E989" s="15" t="s">
        <v>66</v>
      </c>
      <c r="F989" s="15" t="s">
        <v>67</v>
      </c>
      <c r="G989" s="15" t="s">
        <v>73</v>
      </c>
      <c r="H989" s="15" t="s">
        <v>72</v>
      </c>
      <c r="I989" s="16">
        <v>180120</v>
      </c>
      <c r="J989" s="16">
        <v>152551</v>
      </c>
      <c r="K989" s="16">
        <v>176658</v>
      </c>
      <c r="L989" s="17">
        <v>2203</v>
      </c>
      <c r="M989" s="17">
        <v>296.3</v>
      </c>
      <c r="N989" s="17">
        <f t="shared" si="45"/>
        <v>1906.7</v>
      </c>
      <c r="O989" s="17">
        <v>1551.4</v>
      </c>
      <c r="P989" s="17">
        <v>1876.5</v>
      </c>
      <c r="Q989" s="17">
        <v>1248.4000000000001</v>
      </c>
      <c r="R989" s="17">
        <f t="shared" si="46"/>
        <v>658.3</v>
      </c>
      <c r="S989" s="17">
        <v>1027.4000000000001</v>
      </c>
      <c r="T989" s="17">
        <f t="shared" si="47"/>
        <v>524</v>
      </c>
    </row>
    <row r="990" spans="1:20" x14ac:dyDescent="0.35">
      <c r="A990" s="14" t="s">
        <v>103</v>
      </c>
      <c r="B990" s="15" t="s">
        <v>104</v>
      </c>
      <c r="C990" s="15" t="s">
        <v>64</v>
      </c>
      <c r="D990" s="15" t="s">
        <v>65</v>
      </c>
      <c r="E990" s="15" t="s">
        <v>66</v>
      </c>
      <c r="F990" s="15" t="s">
        <v>67</v>
      </c>
      <c r="G990" s="15" t="s">
        <v>74</v>
      </c>
      <c r="H990" s="15" t="s">
        <v>70</v>
      </c>
      <c r="I990" s="16">
        <v>255808</v>
      </c>
      <c r="J990" s="16">
        <v>233674</v>
      </c>
      <c r="K990" s="16">
        <v>253778</v>
      </c>
      <c r="L990" s="17">
        <v>1751.5</v>
      </c>
      <c r="M990" s="17">
        <v>236.4</v>
      </c>
      <c r="N990" s="17">
        <f t="shared" si="45"/>
        <v>1515.1</v>
      </c>
      <c r="O990" s="17">
        <v>1307.2</v>
      </c>
      <c r="P990" s="17">
        <v>1492.7</v>
      </c>
      <c r="Q990" s="17">
        <v>867.1</v>
      </c>
      <c r="R990" s="17">
        <f t="shared" si="46"/>
        <v>647.99999999999989</v>
      </c>
      <c r="S990" s="17">
        <v>757.9</v>
      </c>
      <c r="T990" s="17">
        <f t="shared" si="47"/>
        <v>549.30000000000007</v>
      </c>
    </row>
    <row r="991" spans="1:20" x14ac:dyDescent="0.35">
      <c r="A991" s="14" t="s">
        <v>103</v>
      </c>
      <c r="B991" s="15" t="s">
        <v>104</v>
      </c>
      <c r="C991" s="15" t="s">
        <v>64</v>
      </c>
      <c r="D991" s="15" t="s">
        <v>65</v>
      </c>
      <c r="E991" s="15" t="s">
        <v>66</v>
      </c>
      <c r="F991" s="15" t="s">
        <v>67</v>
      </c>
      <c r="G991" s="15" t="s">
        <v>74</v>
      </c>
      <c r="H991" s="15" t="s">
        <v>71</v>
      </c>
      <c r="I991" s="16">
        <v>531098</v>
      </c>
      <c r="J991" s="16">
        <v>490343</v>
      </c>
      <c r="K991" s="16">
        <v>526883</v>
      </c>
      <c r="L991" s="17">
        <v>4644.5</v>
      </c>
      <c r="M991" s="17">
        <v>654.6</v>
      </c>
      <c r="N991" s="17">
        <f t="shared" si="45"/>
        <v>3989.9</v>
      </c>
      <c r="O991" s="17">
        <v>3504.9</v>
      </c>
      <c r="P991" s="17">
        <v>3911.8</v>
      </c>
      <c r="Q991" s="17">
        <v>2453.6999999999998</v>
      </c>
      <c r="R991" s="17">
        <f t="shared" si="46"/>
        <v>1536.2000000000003</v>
      </c>
      <c r="S991" s="17">
        <v>2172</v>
      </c>
      <c r="T991" s="17">
        <f t="shared" si="47"/>
        <v>1332.9</v>
      </c>
    </row>
    <row r="992" spans="1:20" x14ac:dyDescent="0.35">
      <c r="A992" s="14" t="s">
        <v>103</v>
      </c>
      <c r="B992" s="15" t="s">
        <v>104</v>
      </c>
      <c r="C992" s="15" t="s">
        <v>64</v>
      </c>
      <c r="D992" s="15" t="s">
        <v>65</v>
      </c>
      <c r="E992" s="15" t="s">
        <v>66</v>
      </c>
      <c r="F992" s="15" t="s">
        <v>67</v>
      </c>
      <c r="G992" s="15" t="s">
        <v>75</v>
      </c>
      <c r="H992" s="15" t="s">
        <v>71</v>
      </c>
      <c r="I992" s="16">
        <v>404167</v>
      </c>
      <c r="J992" s="16">
        <v>374082</v>
      </c>
      <c r="K992" s="16">
        <v>400959</v>
      </c>
      <c r="L992" s="17">
        <v>3533.9</v>
      </c>
      <c r="M992" s="17">
        <v>485.9</v>
      </c>
      <c r="N992" s="17">
        <f t="shared" si="45"/>
        <v>3048</v>
      </c>
      <c r="O992" s="17">
        <v>2675.8</v>
      </c>
      <c r="P992" s="17">
        <v>2966.4</v>
      </c>
      <c r="Q992" s="17">
        <v>1857.4</v>
      </c>
      <c r="R992" s="17">
        <f t="shared" si="46"/>
        <v>1190.5999999999999</v>
      </c>
      <c r="S992" s="17">
        <v>1662.9</v>
      </c>
      <c r="T992" s="17">
        <f t="shared" si="47"/>
        <v>1012.9000000000001</v>
      </c>
    </row>
    <row r="993" spans="1:20" x14ac:dyDescent="0.35">
      <c r="A993" s="14" t="s">
        <v>103</v>
      </c>
      <c r="B993" s="15" t="s">
        <v>104</v>
      </c>
      <c r="C993" s="15" t="s">
        <v>64</v>
      </c>
      <c r="D993" s="15" t="s">
        <v>65</v>
      </c>
      <c r="E993" s="15" t="s">
        <v>66</v>
      </c>
      <c r="F993" s="15" t="s">
        <v>67</v>
      </c>
      <c r="G993" s="15" t="s">
        <v>76</v>
      </c>
      <c r="H993" s="15" t="s">
        <v>72</v>
      </c>
      <c r="I993" s="16">
        <v>130982</v>
      </c>
      <c r="J993" s="16">
        <v>118557</v>
      </c>
      <c r="K993" s="16">
        <v>128634</v>
      </c>
      <c r="L993" s="17">
        <v>1915.5</v>
      </c>
      <c r="M993" s="17">
        <v>280.39999999999998</v>
      </c>
      <c r="N993" s="17">
        <f t="shared" si="45"/>
        <v>1635.1</v>
      </c>
      <c r="O993" s="17">
        <v>1396.6</v>
      </c>
      <c r="P993" s="17">
        <v>1607.2</v>
      </c>
      <c r="Q993" s="17">
        <v>1037.0999999999999</v>
      </c>
      <c r="R993" s="17">
        <f t="shared" si="46"/>
        <v>598</v>
      </c>
      <c r="S993" s="17">
        <v>895.9</v>
      </c>
      <c r="T993" s="17">
        <f t="shared" si="47"/>
        <v>500.69999999999993</v>
      </c>
    </row>
    <row r="994" spans="1:20" x14ac:dyDescent="0.35">
      <c r="A994" s="14" t="s">
        <v>103</v>
      </c>
      <c r="B994" s="15" t="s">
        <v>104</v>
      </c>
      <c r="C994" s="15" t="s">
        <v>64</v>
      </c>
      <c r="D994" s="15" t="s">
        <v>65</v>
      </c>
      <c r="E994" s="15" t="s">
        <v>66</v>
      </c>
      <c r="F994" s="15" t="s">
        <v>67</v>
      </c>
      <c r="G994" s="15" t="s">
        <v>77</v>
      </c>
      <c r="H994" s="15" t="s">
        <v>71</v>
      </c>
      <c r="I994" s="16">
        <v>215479</v>
      </c>
      <c r="J994" s="16">
        <v>202992</v>
      </c>
      <c r="K994" s="16">
        <v>213682</v>
      </c>
      <c r="L994" s="17">
        <v>1888.6</v>
      </c>
      <c r="M994" s="17">
        <v>269</v>
      </c>
      <c r="N994" s="17">
        <f t="shared" si="45"/>
        <v>1619.6</v>
      </c>
      <c r="O994" s="17">
        <v>1463</v>
      </c>
      <c r="P994" s="17">
        <v>1594.9</v>
      </c>
      <c r="Q994" s="17">
        <v>1027.8</v>
      </c>
      <c r="R994" s="17">
        <f t="shared" si="46"/>
        <v>591.79999999999995</v>
      </c>
      <c r="S994" s="17">
        <v>949.9</v>
      </c>
      <c r="T994" s="17">
        <f t="shared" si="47"/>
        <v>513.1</v>
      </c>
    </row>
    <row r="995" spans="1:20" x14ac:dyDescent="0.35">
      <c r="A995" s="14" t="s">
        <v>103</v>
      </c>
      <c r="B995" s="15" t="s">
        <v>104</v>
      </c>
      <c r="C995" s="15" t="s">
        <v>64</v>
      </c>
      <c r="D995" s="15" t="s">
        <v>65</v>
      </c>
      <c r="E995" s="15" t="s">
        <v>66</v>
      </c>
      <c r="F995" s="15" t="s">
        <v>67</v>
      </c>
      <c r="G995" s="15" t="s">
        <v>78</v>
      </c>
      <c r="H995" s="15" t="s">
        <v>71</v>
      </c>
      <c r="I995" s="16">
        <v>317687</v>
      </c>
      <c r="J995" s="16">
        <v>296981</v>
      </c>
      <c r="K995" s="16">
        <v>314667</v>
      </c>
      <c r="L995" s="17">
        <v>2740</v>
      </c>
      <c r="M995" s="17">
        <v>377.2</v>
      </c>
      <c r="N995" s="17">
        <f t="shared" si="45"/>
        <v>2362.8000000000002</v>
      </c>
      <c r="O995" s="17">
        <v>2106.5</v>
      </c>
      <c r="P995" s="17">
        <v>2292.5</v>
      </c>
      <c r="Q995" s="17">
        <v>1464.2</v>
      </c>
      <c r="R995" s="17">
        <f t="shared" si="46"/>
        <v>898.60000000000014</v>
      </c>
      <c r="S995" s="17">
        <v>1315.7</v>
      </c>
      <c r="T995" s="17">
        <f t="shared" si="47"/>
        <v>790.8</v>
      </c>
    </row>
    <row r="996" spans="1:20" x14ac:dyDescent="0.35">
      <c r="A996" s="14" t="s">
        <v>103</v>
      </c>
      <c r="B996" s="15" t="s">
        <v>104</v>
      </c>
      <c r="C996" s="15" t="s">
        <v>64</v>
      </c>
      <c r="D996" s="15" t="s">
        <v>65</v>
      </c>
      <c r="E996" s="15" t="s">
        <v>66</v>
      </c>
      <c r="F996" s="15" t="s">
        <v>79</v>
      </c>
      <c r="G996" s="15" t="s">
        <v>80</v>
      </c>
      <c r="H996" s="15" t="s">
        <v>71</v>
      </c>
      <c r="I996" s="16">
        <v>422021</v>
      </c>
      <c r="J996" s="16">
        <v>391832</v>
      </c>
      <c r="K996" s="16">
        <v>416505</v>
      </c>
      <c r="L996" s="17">
        <v>2364</v>
      </c>
      <c r="M996" s="17">
        <v>317.10000000000002</v>
      </c>
      <c r="N996" s="17">
        <f t="shared" si="45"/>
        <v>2046.9</v>
      </c>
      <c r="O996" s="17">
        <v>1794.1</v>
      </c>
      <c r="P996" s="17">
        <v>1996.9</v>
      </c>
      <c r="Q996" s="17">
        <v>1237.3</v>
      </c>
      <c r="R996" s="17">
        <f t="shared" si="46"/>
        <v>809.60000000000014</v>
      </c>
      <c r="S996" s="17">
        <v>1110.8</v>
      </c>
      <c r="T996" s="17">
        <f t="shared" si="47"/>
        <v>683.3</v>
      </c>
    </row>
    <row r="997" spans="1:20" x14ac:dyDescent="0.35">
      <c r="A997" s="14" t="s">
        <v>103</v>
      </c>
      <c r="B997" s="15" t="s">
        <v>104</v>
      </c>
      <c r="C997" s="15" t="s">
        <v>64</v>
      </c>
      <c r="D997" s="15" t="s">
        <v>65</v>
      </c>
      <c r="E997" s="15" t="s">
        <v>66</v>
      </c>
      <c r="F997" s="15" t="s">
        <v>81</v>
      </c>
      <c r="G997" s="15" t="s">
        <v>82</v>
      </c>
      <c r="H997" s="15" t="s">
        <v>71</v>
      </c>
      <c r="I997" s="16">
        <v>153514</v>
      </c>
      <c r="J997" s="16">
        <v>136646</v>
      </c>
      <c r="K997" s="16">
        <v>151239</v>
      </c>
      <c r="L997" s="17">
        <v>1838.1</v>
      </c>
      <c r="M997" s="17">
        <v>271.89999999999998</v>
      </c>
      <c r="N997" s="17">
        <f t="shared" si="45"/>
        <v>1566.1999999999998</v>
      </c>
      <c r="O997" s="17">
        <v>1338</v>
      </c>
      <c r="P997" s="17">
        <v>1530.6</v>
      </c>
      <c r="Q997" s="17">
        <v>982.4</v>
      </c>
      <c r="R997" s="17">
        <f t="shared" si="46"/>
        <v>583.79999999999984</v>
      </c>
      <c r="S997" s="17">
        <v>849.2</v>
      </c>
      <c r="T997" s="17">
        <f t="shared" si="47"/>
        <v>488.79999999999995</v>
      </c>
    </row>
    <row r="998" spans="1:20" x14ac:dyDescent="0.35">
      <c r="A998" s="14" t="s">
        <v>103</v>
      </c>
      <c r="B998" s="15" t="s">
        <v>104</v>
      </c>
      <c r="C998" s="15" t="s">
        <v>64</v>
      </c>
      <c r="D998" s="15" t="s">
        <v>65</v>
      </c>
      <c r="E998" s="15" t="s">
        <v>66</v>
      </c>
      <c r="F998" s="15" t="s">
        <v>83</v>
      </c>
      <c r="G998" s="15" t="s">
        <v>84</v>
      </c>
      <c r="H998" s="15" t="s">
        <v>72</v>
      </c>
      <c r="I998" s="16">
        <v>139075</v>
      </c>
      <c r="J998" s="16">
        <v>113452</v>
      </c>
      <c r="K998" s="16">
        <v>137209</v>
      </c>
      <c r="L998" s="17">
        <v>5047</v>
      </c>
      <c r="M998" s="17">
        <v>669.9</v>
      </c>
      <c r="N998" s="17">
        <f t="shared" si="45"/>
        <v>4377.1000000000004</v>
      </c>
      <c r="O998" s="17">
        <v>3417.9</v>
      </c>
      <c r="P998" s="17">
        <v>4250.5</v>
      </c>
      <c r="Q998" s="17">
        <v>2481.8000000000002</v>
      </c>
      <c r="R998" s="17">
        <f t="shared" si="46"/>
        <v>1895.3000000000002</v>
      </c>
      <c r="S998" s="17">
        <v>1959.5</v>
      </c>
      <c r="T998" s="17">
        <f t="shared" si="47"/>
        <v>1458.4</v>
      </c>
    </row>
    <row r="999" spans="1:20" x14ac:dyDescent="0.35">
      <c r="A999" s="14" t="s">
        <v>103</v>
      </c>
      <c r="B999" s="15" t="s">
        <v>104</v>
      </c>
      <c r="C999" s="15" t="s">
        <v>64</v>
      </c>
      <c r="D999" s="15" t="s">
        <v>65</v>
      </c>
      <c r="E999" s="15" t="s">
        <v>66</v>
      </c>
      <c r="F999" s="15" t="s">
        <v>85</v>
      </c>
      <c r="G999" s="15" t="s">
        <v>86</v>
      </c>
      <c r="H999" s="15" t="s">
        <v>72</v>
      </c>
      <c r="I999" s="16">
        <v>76223</v>
      </c>
      <c r="J999" s="16">
        <v>69751</v>
      </c>
      <c r="K999" s="16">
        <v>75395</v>
      </c>
      <c r="L999" s="17">
        <v>1734.9</v>
      </c>
      <c r="M999" s="17">
        <v>246.1</v>
      </c>
      <c r="N999" s="17">
        <f t="shared" si="45"/>
        <v>1488.8000000000002</v>
      </c>
      <c r="O999" s="17">
        <v>1289.3</v>
      </c>
      <c r="P999" s="17">
        <v>1464.6</v>
      </c>
      <c r="Q999" s="17">
        <v>973.8</v>
      </c>
      <c r="R999" s="17">
        <f t="shared" si="46"/>
        <v>515.00000000000023</v>
      </c>
      <c r="S999" s="17">
        <v>856.2</v>
      </c>
      <c r="T999" s="17">
        <f t="shared" si="47"/>
        <v>433.09999999999991</v>
      </c>
    </row>
    <row r="1000" spans="1:20" x14ac:dyDescent="0.35">
      <c r="A1000" s="14" t="s">
        <v>103</v>
      </c>
      <c r="B1000" s="15" t="s">
        <v>104</v>
      </c>
      <c r="C1000" s="15" t="s">
        <v>64</v>
      </c>
      <c r="D1000" s="15" t="s">
        <v>65</v>
      </c>
      <c r="E1000" s="15" t="s">
        <v>66</v>
      </c>
      <c r="F1000" s="15" t="s">
        <v>87</v>
      </c>
      <c r="G1000" s="15" t="s">
        <v>88</v>
      </c>
      <c r="H1000" s="15" t="s">
        <v>72</v>
      </c>
      <c r="I1000" s="16">
        <v>33368</v>
      </c>
      <c r="J1000" s="16">
        <v>27480</v>
      </c>
      <c r="K1000" s="16">
        <v>33103</v>
      </c>
      <c r="L1000" s="17">
        <v>1049.4000000000001</v>
      </c>
      <c r="M1000" s="17">
        <v>151.69999999999999</v>
      </c>
      <c r="N1000" s="17">
        <f t="shared" si="45"/>
        <v>897.7</v>
      </c>
      <c r="O1000" s="17">
        <v>704.1</v>
      </c>
      <c r="P1000" s="17">
        <v>884.1</v>
      </c>
      <c r="Q1000" s="17">
        <v>544.1</v>
      </c>
      <c r="R1000" s="17">
        <f t="shared" si="46"/>
        <v>353.6</v>
      </c>
      <c r="S1000" s="17">
        <v>432.2</v>
      </c>
      <c r="T1000" s="17">
        <f t="shared" si="47"/>
        <v>271.90000000000003</v>
      </c>
    </row>
    <row r="1001" spans="1:20" x14ac:dyDescent="0.35">
      <c r="A1001" s="14" t="s">
        <v>103</v>
      </c>
      <c r="B1001" s="15" t="s">
        <v>104</v>
      </c>
      <c r="C1001" s="15" t="s">
        <v>64</v>
      </c>
      <c r="D1001" s="15" t="s">
        <v>65</v>
      </c>
      <c r="E1001" s="15" t="s">
        <v>89</v>
      </c>
      <c r="F1001" s="15" t="s">
        <v>67</v>
      </c>
      <c r="G1001" s="15" t="s">
        <v>68</v>
      </c>
      <c r="H1001" s="15" t="s">
        <v>69</v>
      </c>
      <c r="I1001" s="16">
        <v>1860615</v>
      </c>
      <c r="J1001" s="16">
        <v>1821994</v>
      </c>
      <c r="K1001" s="16">
        <v>1831394</v>
      </c>
      <c r="L1001" s="17">
        <v>11338.9</v>
      </c>
      <c r="M1001" s="17">
        <v>866.1</v>
      </c>
      <c r="N1001" s="17">
        <f t="shared" si="45"/>
        <v>10472.799999999999</v>
      </c>
      <c r="O1001" s="17">
        <v>9797.2000000000007</v>
      </c>
      <c r="P1001" s="17">
        <v>10197.5</v>
      </c>
      <c r="Q1001" s="17">
        <v>5812.2</v>
      </c>
      <c r="R1001" s="17">
        <f t="shared" si="46"/>
        <v>4660.5999999999995</v>
      </c>
      <c r="S1001" s="17">
        <v>5533.9</v>
      </c>
      <c r="T1001" s="17">
        <f t="shared" si="47"/>
        <v>4263.3000000000011</v>
      </c>
    </row>
    <row r="1002" spans="1:20" x14ac:dyDescent="0.35">
      <c r="A1002" s="14" t="s">
        <v>103</v>
      </c>
      <c r="B1002" s="15" t="s">
        <v>104</v>
      </c>
      <c r="C1002" s="15" t="s">
        <v>64</v>
      </c>
      <c r="D1002" s="15" t="s">
        <v>65</v>
      </c>
      <c r="E1002" s="15" t="s">
        <v>89</v>
      </c>
      <c r="F1002" s="15" t="s">
        <v>67</v>
      </c>
      <c r="G1002" s="15" t="s">
        <v>68</v>
      </c>
      <c r="H1002" s="15" t="s">
        <v>70</v>
      </c>
      <c r="I1002" s="16">
        <v>1689937</v>
      </c>
      <c r="J1002" s="16">
        <v>1609299</v>
      </c>
      <c r="K1002" s="16">
        <v>1662960</v>
      </c>
      <c r="L1002" s="17">
        <v>11552</v>
      </c>
      <c r="M1002" s="17">
        <v>723.3</v>
      </c>
      <c r="N1002" s="17">
        <f t="shared" si="45"/>
        <v>10828.7</v>
      </c>
      <c r="O1002" s="17">
        <v>9887.7999999999993</v>
      </c>
      <c r="P1002" s="17">
        <v>10668.7</v>
      </c>
      <c r="Q1002" s="17">
        <v>6014.1</v>
      </c>
      <c r="R1002" s="17">
        <f t="shared" si="46"/>
        <v>4814.6000000000004</v>
      </c>
      <c r="S1002" s="17">
        <v>5539</v>
      </c>
      <c r="T1002" s="17">
        <f t="shared" si="47"/>
        <v>4348.7999999999993</v>
      </c>
    </row>
    <row r="1003" spans="1:20" x14ac:dyDescent="0.35">
      <c r="A1003" s="14" t="s">
        <v>103</v>
      </c>
      <c r="B1003" s="15" t="s">
        <v>104</v>
      </c>
      <c r="C1003" s="15" t="s">
        <v>64</v>
      </c>
      <c r="D1003" s="15" t="s">
        <v>65</v>
      </c>
      <c r="E1003" s="15" t="s">
        <v>89</v>
      </c>
      <c r="F1003" s="15" t="s">
        <v>67</v>
      </c>
      <c r="G1003" s="15" t="s">
        <v>68</v>
      </c>
      <c r="H1003" s="15" t="s">
        <v>71</v>
      </c>
      <c r="I1003" s="16">
        <v>1886825</v>
      </c>
      <c r="J1003" s="16">
        <v>1819693</v>
      </c>
      <c r="K1003" s="16">
        <v>1861059</v>
      </c>
      <c r="L1003" s="17">
        <v>16228</v>
      </c>
      <c r="M1003" s="17">
        <v>1109.8</v>
      </c>
      <c r="N1003" s="17">
        <f t="shared" si="45"/>
        <v>15118.2</v>
      </c>
      <c r="O1003" s="17">
        <v>13854.3</v>
      </c>
      <c r="P1003" s="17">
        <v>14829.8</v>
      </c>
      <c r="Q1003" s="17">
        <v>9404.5</v>
      </c>
      <c r="R1003" s="17">
        <f t="shared" si="46"/>
        <v>5713.7000000000007</v>
      </c>
      <c r="S1003" s="17">
        <v>8820.2999999999993</v>
      </c>
      <c r="T1003" s="17">
        <f t="shared" si="47"/>
        <v>5034</v>
      </c>
    </row>
    <row r="1004" spans="1:20" x14ac:dyDescent="0.35">
      <c r="A1004" s="14" t="s">
        <v>103</v>
      </c>
      <c r="B1004" s="15" t="s">
        <v>104</v>
      </c>
      <c r="C1004" s="15" t="s">
        <v>64</v>
      </c>
      <c r="D1004" s="15" t="s">
        <v>65</v>
      </c>
      <c r="E1004" s="15" t="s">
        <v>89</v>
      </c>
      <c r="F1004" s="15" t="s">
        <v>67</v>
      </c>
      <c r="G1004" s="15" t="s">
        <v>68</v>
      </c>
      <c r="H1004" s="15" t="s">
        <v>72</v>
      </c>
      <c r="I1004" s="16">
        <v>380220</v>
      </c>
      <c r="J1004" s="16">
        <v>360529</v>
      </c>
      <c r="K1004" s="16">
        <v>374244</v>
      </c>
      <c r="L1004" s="17">
        <v>4417.3</v>
      </c>
      <c r="M1004" s="17">
        <v>300.2</v>
      </c>
      <c r="N1004" s="17">
        <f t="shared" si="45"/>
        <v>4117.1000000000004</v>
      </c>
      <c r="O1004" s="17">
        <v>3694.9</v>
      </c>
      <c r="P1004" s="17">
        <v>4013</v>
      </c>
      <c r="Q1004" s="17">
        <v>2589.8000000000002</v>
      </c>
      <c r="R1004" s="17">
        <f t="shared" si="46"/>
        <v>1527.3000000000002</v>
      </c>
      <c r="S1004" s="17">
        <v>2368.1</v>
      </c>
      <c r="T1004" s="17">
        <f t="shared" si="47"/>
        <v>1326.8000000000002</v>
      </c>
    </row>
    <row r="1005" spans="1:20" x14ac:dyDescent="0.35">
      <c r="A1005" s="14" t="s">
        <v>103</v>
      </c>
      <c r="B1005" s="15" t="s">
        <v>104</v>
      </c>
      <c r="C1005" s="15" t="s">
        <v>64</v>
      </c>
      <c r="D1005" s="15" t="s">
        <v>65</v>
      </c>
      <c r="E1005" s="15" t="s">
        <v>89</v>
      </c>
      <c r="F1005" s="15" t="s">
        <v>67</v>
      </c>
      <c r="G1005" s="15" t="s">
        <v>73</v>
      </c>
      <c r="H1005" s="15" t="s">
        <v>71</v>
      </c>
      <c r="I1005" s="16">
        <v>458913</v>
      </c>
      <c r="J1005" s="16">
        <v>400915</v>
      </c>
      <c r="K1005" s="16">
        <v>452380</v>
      </c>
      <c r="L1005" s="17">
        <v>3912.5</v>
      </c>
      <c r="M1005" s="17">
        <v>239.9</v>
      </c>
      <c r="N1005" s="17">
        <f t="shared" si="45"/>
        <v>3672.6</v>
      </c>
      <c r="O1005" s="17">
        <v>3078.3</v>
      </c>
      <c r="P1005" s="17">
        <v>3581.8</v>
      </c>
      <c r="Q1005" s="17">
        <v>2257.3000000000002</v>
      </c>
      <c r="R1005" s="17">
        <f t="shared" si="46"/>
        <v>1415.2999999999997</v>
      </c>
      <c r="S1005" s="17">
        <v>1928.2</v>
      </c>
      <c r="T1005" s="17">
        <f t="shared" si="47"/>
        <v>1150.1000000000001</v>
      </c>
    </row>
    <row r="1006" spans="1:20" x14ac:dyDescent="0.35">
      <c r="A1006" s="14" t="s">
        <v>103</v>
      </c>
      <c r="B1006" s="15" t="s">
        <v>104</v>
      </c>
      <c r="C1006" s="15" t="s">
        <v>64</v>
      </c>
      <c r="D1006" s="15" t="s">
        <v>65</v>
      </c>
      <c r="E1006" s="15" t="s">
        <v>89</v>
      </c>
      <c r="F1006" s="15" t="s">
        <v>67</v>
      </c>
      <c r="G1006" s="15" t="s">
        <v>73</v>
      </c>
      <c r="H1006" s="15" t="s">
        <v>72</v>
      </c>
      <c r="I1006" s="16">
        <v>113451</v>
      </c>
      <c r="J1006" s="16">
        <v>97670</v>
      </c>
      <c r="K1006" s="16">
        <v>111327</v>
      </c>
      <c r="L1006" s="17">
        <v>1316.9</v>
      </c>
      <c r="M1006" s="17">
        <v>79.7</v>
      </c>
      <c r="N1006" s="17">
        <f t="shared" si="45"/>
        <v>1237.2</v>
      </c>
      <c r="O1006" s="17">
        <v>1017</v>
      </c>
      <c r="P1006" s="17">
        <v>1201.4000000000001</v>
      </c>
      <c r="Q1006" s="17">
        <v>777.3</v>
      </c>
      <c r="R1006" s="17">
        <f t="shared" si="46"/>
        <v>459.90000000000009</v>
      </c>
      <c r="S1006" s="17">
        <v>645.4</v>
      </c>
      <c r="T1006" s="17">
        <f t="shared" si="47"/>
        <v>371.6</v>
      </c>
    </row>
    <row r="1007" spans="1:20" x14ac:dyDescent="0.35">
      <c r="A1007" s="14" t="s">
        <v>103</v>
      </c>
      <c r="B1007" s="15" t="s">
        <v>104</v>
      </c>
      <c r="C1007" s="15" t="s">
        <v>64</v>
      </c>
      <c r="D1007" s="15" t="s">
        <v>65</v>
      </c>
      <c r="E1007" s="15" t="s">
        <v>89</v>
      </c>
      <c r="F1007" s="15" t="s">
        <v>67</v>
      </c>
      <c r="G1007" s="15" t="s">
        <v>74</v>
      </c>
      <c r="H1007" s="15" t="s">
        <v>70</v>
      </c>
      <c r="I1007" s="16">
        <v>799229</v>
      </c>
      <c r="J1007" s="16">
        <v>752703</v>
      </c>
      <c r="K1007" s="16">
        <v>790843</v>
      </c>
      <c r="L1007" s="17">
        <v>5461.5</v>
      </c>
      <c r="M1007" s="17">
        <v>339.6</v>
      </c>
      <c r="N1007" s="17">
        <f t="shared" si="45"/>
        <v>5121.8999999999996</v>
      </c>
      <c r="O1007" s="17">
        <v>4622.7</v>
      </c>
      <c r="P1007" s="17">
        <v>5018.2</v>
      </c>
      <c r="Q1007" s="17">
        <v>2967.5</v>
      </c>
      <c r="R1007" s="17">
        <f t="shared" si="46"/>
        <v>2154.3999999999996</v>
      </c>
      <c r="S1007" s="17">
        <v>2736.6</v>
      </c>
      <c r="T1007" s="17">
        <f t="shared" si="47"/>
        <v>1886.1</v>
      </c>
    </row>
    <row r="1008" spans="1:20" x14ac:dyDescent="0.35">
      <c r="A1008" s="14" t="s">
        <v>103</v>
      </c>
      <c r="B1008" s="15" t="s">
        <v>104</v>
      </c>
      <c r="C1008" s="15" t="s">
        <v>64</v>
      </c>
      <c r="D1008" s="15" t="s">
        <v>65</v>
      </c>
      <c r="E1008" s="15" t="s">
        <v>89</v>
      </c>
      <c r="F1008" s="15" t="s">
        <v>67</v>
      </c>
      <c r="G1008" s="15" t="s">
        <v>74</v>
      </c>
      <c r="H1008" s="15" t="s">
        <v>71</v>
      </c>
      <c r="I1008" s="16">
        <v>674476</v>
      </c>
      <c r="J1008" s="16">
        <v>642871</v>
      </c>
      <c r="K1008" s="16">
        <v>663283</v>
      </c>
      <c r="L1008" s="17">
        <v>5695.1</v>
      </c>
      <c r="M1008" s="17">
        <v>422.5</v>
      </c>
      <c r="N1008" s="17">
        <f t="shared" si="45"/>
        <v>5272.6</v>
      </c>
      <c r="O1008" s="17">
        <v>4760.1000000000004</v>
      </c>
      <c r="P1008" s="17">
        <v>5151</v>
      </c>
      <c r="Q1008" s="17">
        <v>3320.8</v>
      </c>
      <c r="R1008" s="17">
        <f t="shared" si="46"/>
        <v>1951.8000000000002</v>
      </c>
      <c r="S1008" s="17">
        <v>3049.2</v>
      </c>
      <c r="T1008" s="17">
        <f t="shared" si="47"/>
        <v>1710.9000000000005</v>
      </c>
    </row>
    <row r="1009" spans="1:20" x14ac:dyDescent="0.35">
      <c r="A1009" s="14" t="s">
        <v>103</v>
      </c>
      <c r="B1009" s="15" t="s">
        <v>104</v>
      </c>
      <c r="C1009" s="15" t="s">
        <v>64</v>
      </c>
      <c r="D1009" s="15" t="s">
        <v>65</v>
      </c>
      <c r="E1009" s="15" t="s">
        <v>89</v>
      </c>
      <c r="F1009" s="15" t="s">
        <v>67</v>
      </c>
      <c r="G1009" s="15" t="s">
        <v>75</v>
      </c>
      <c r="H1009" s="15" t="s">
        <v>71</v>
      </c>
      <c r="I1009" s="16">
        <v>508813</v>
      </c>
      <c r="J1009" s="16">
        <v>487535</v>
      </c>
      <c r="K1009" s="16">
        <v>503810</v>
      </c>
      <c r="L1009" s="17">
        <v>4407.6000000000004</v>
      </c>
      <c r="M1009" s="17">
        <v>303.39999999999998</v>
      </c>
      <c r="N1009" s="17">
        <f t="shared" si="45"/>
        <v>4104.2000000000007</v>
      </c>
      <c r="O1009" s="17">
        <v>3747.9</v>
      </c>
      <c r="P1009" s="17">
        <v>3994.8</v>
      </c>
      <c r="Q1009" s="17">
        <v>2550.9</v>
      </c>
      <c r="R1009" s="17">
        <f t="shared" si="46"/>
        <v>1553.3000000000006</v>
      </c>
      <c r="S1009" s="17">
        <v>2352.1999999999998</v>
      </c>
      <c r="T1009" s="17">
        <f t="shared" si="47"/>
        <v>1395.7000000000003</v>
      </c>
    </row>
    <row r="1010" spans="1:20" x14ac:dyDescent="0.35">
      <c r="A1010" s="14" t="s">
        <v>103</v>
      </c>
      <c r="B1010" s="15" t="s">
        <v>104</v>
      </c>
      <c r="C1010" s="15" t="s">
        <v>64</v>
      </c>
      <c r="D1010" s="15" t="s">
        <v>65</v>
      </c>
      <c r="E1010" s="15" t="s">
        <v>89</v>
      </c>
      <c r="F1010" s="15" t="s">
        <v>67</v>
      </c>
      <c r="G1010" s="15" t="s">
        <v>76</v>
      </c>
      <c r="H1010" s="15" t="s">
        <v>72</v>
      </c>
      <c r="I1010" s="16">
        <v>96448</v>
      </c>
      <c r="J1010" s="16">
        <v>88472</v>
      </c>
      <c r="K1010" s="16">
        <v>94874</v>
      </c>
      <c r="L1010" s="17">
        <v>1381.9</v>
      </c>
      <c r="M1010" s="17">
        <v>105.2</v>
      </c>
      <c r="N1010" s="17">
        <f t="shared" si="45"/>
        <v>1276.7</v>
      </c>
      <c r="O1010" s="17">
        <v>1124.5999999999999</v>
      </c>
      <c r="P1010" s="17">
        <v>1255</v>
      </c>
      <c r="Q1010" s="17">
        <v>798.2</v>
      </c>
      <c r="R1010" s="17">
        <f t="shared" si="46"/>
        <v>478.5</v>
      </c>
      <c r="S1010" s="17">
        <v>713.1</v>
      </c>
      <c r="T1010" s="17">
        <f t="shared" si="47"/>
        <v>411.49999999999989</v>
      </c>
    </row>
    <row r="1011" spans="1:20" x14ac:dyDescent="0.35">
      <c r="A1011" s="14" t="s">
        <v>103</v>
      </c>
      <c r="B1011" s="15" t="s">
        <v>104</v>
      </c>
      <c r="C1011" s="15" t="s">
        <v>64</v>
      </c>
      <c r="D1011" s="15" t="s">
        <v>65</v>
      </c>
      <c r="E1011" s="15" t="s">
        <v>89</v>
      </c>
      <c r="F1011" s="15" t="s">
        <v>67</v>
      </c>
      <c r="G1011" s="15" t="s">
        <v>77</v>
      </c>
      <c r="H1011" s="15" t="s">
        <v>71</v>
      </c>
      <c r="I1011" s="16">
        <v>294921</v>
      </c>
      <c r="J1011" s="16">
        <v>282628</v>
      </c>
      <c r="K1011" s="16">
        <v>292580</v>
      </c>
      <c r="L1011" s="17">
        <v>2561.6</v>
      </c>
      <c r="M1011" s="17">
        <v>157.1</v>
      </c>
      <c r="N1011" s="17">
        <f t="shared" si="45"/>
        <v>2404.5</v>
      </c>
      <c r="O1011" s="17">
        <v>2186.5</v>
      </c>
      <c r="P1011" s="17">
        <v>2361.3000000000002</v>
      </c>
      <c r="Q1011" s="17">
        <v>1483.4</v>
      </c>
      <c r="R1011" s="17">
        <f t="shared" si="46"/>
        <v>921.09999999999991</v>
      </c>
      <c r="S1011" s="17">
        <v>1361.9</v>
      </c>
      <c r="T1011" s="17">
        <f t="shared" si="47"/>
        <v>824.59999999999991</v>
      </c>
    </row>
    <row r="1012" spans="1:20" x14ac:dyDescent="0.35">
      <c r="A1012" s="14" t="s">
        <v>103</v>
      </c>
      <c r="B1012" s="15" t="s">
        <v>104</v>
      </c>
      <c r="C1012" s="15" t="s">
        <v>64</v>
      </c>
      <c r="D1012" s="15" t="s">
        <v>65</v>
      </c>
      <c r="E1012" s="15" t="s">
        <v>89</v>
      </c>
      <c r="F1012" s="15" t="s">
        <v>67</v>
      </c>
      <c r="G1012" s="15" t="s">
        <v>78</v>
      </c>
      <c r="H1012" s="15" t="s">
        <v>71</v>
      </c>
      <c r="I1012" s="16">
        <v>352975</v>
      </c>
      <c r="J1012" s="16">
        <v>332988</v>
      </c>
      <c r="K1012" s="16">
        <v>348723</v>
      </c>
      <c r="L1012" s="17">
        <v>3036.1</v>
      </c>
      <c r="M1012" s="17">
        <v>228.3</v>
      </c>
      <c r="N1012" s="17">
        <f t="shared" si="45"/>
        <v>2807.7999999999997</v>
      </c>
      <c r="O1012" s="17">
        <v>2521.6999999999998</v>
      </c>
      <c r="P1012" s="17">
        <v>2762.3</v>
      </c>
      <c r="Q1012" s="17">
        <v>1714.1</v>
      </c>
      <c r="R1012" s="17">
        <f t="shared" si="46"/>
        <v>1093.6999999999998</v>
      </c>
      <c r="S1012" s="17">
        <v>1563.4</v>
      </c>
      <c r="T1012" s="17">
        <f t="shared" si="47"/>
        <v>958.29999999999973</v>
      </c>
    </row>
    <row r="1013" spans="1:20" x14ac:dyDescent="0.35">
      <c r="A1013" s="14" t="s">
        <v>103</v>
      </c>
      <c r="B1013" s="15" t="s">
        <v>104</v>
      </c>
      <c r="C1013" s="15" t="s">
        <v>64</v>
      </c>
      <c r="D1013" s="15" t="s">
        <v>65</v>
      </c>
      <c r="E1013" s="15" t="s">
        <v>89</v>
      </c>
      <c r="F1013" s="15" t="s">
        <v>79</v>
      </c>
      <c r="G1013" s="15" t="s">
        <v>80</v>
      </c>
      <c r="H1013" s="15" t="s">
        <v>71</v>
      </c>
      <c r="I1013" s="16">
        <v>601122</v>
      </c>
      <c r="J1013" s="16">
        <v>563306</v>
      </c>
      <c r="K1013" s="16">
        <v>591704</v>
      </c>
      <c r="L1013" s="17">
        <v>3268</v>
      </c>
      <c r="M1013" s="17">
        <v>200.9</v>
      </c>
      <c r="N1013" s="17">
        <f t="shared" si="45"/>
        <v>3067.1</v>
      </c>
      <c r="O1013" s="17">
        <v>2729.9</v>
      </c>
      <c r="P1013" s="17">
        <v>2995.3</v>
      </c>
      <c r="Q1013" s="17">
        <v>1860.8</v>
      </c>
      <c r="R1013" s="17">
        <f t="shared" si="46"/>
        <v>1206.3</v>
      </c>
      <c r="S1013" s="17">
        <v>1692.2</v>
      </c>
      <c r="T1013" s="17">
        <f t="shared" si="47"/>
        <v>1037.7</v>
      </c>
    </row>
    <row r="1014" spans="1:20" x14ac:dyDescent="0.35">
      <c r="A1014" s="14" t="s">
        <v>103</v>
      </c>
      <c r="B1014" s="15" t="s">
        <v>104</v>
      </c>
      <c r="C1014" s="15" t="s">
        <v>64</v>
      </c>
      <c r="D1014" s="15" t="s">
        <v>65</v>
      </c>
      <c r="E1014" s="15" t="s">
        <v>89</v>
      </c>
      <c r="F1014" s="15" t="s">
        <v>81</v>
      </c>
      <c r="G1014" s="15" t="s">
        <v>82</v>
      </c>
      <c r="H1014" s="15" t="s">
        <v>71</v>
      </c>
      <c r="I1014" s="16">
        <v>200836</v>
      </c>
      <c r="J1014" s="16">
        <v>184984</v>
      </c>
      <c r="K1014" s="16">
        <v>199122</v>
      </c>
      <c r="L1014" s="17">
        <v>2290.9</v>
      </c>
      <c r="M1014" s="17">
        <v>182.4</v>
      </c>
      <c r="N1014" s="17">
        <f t="shared" si="45"/>
        <v>2108.5</v>
      </c>
      <c r="O1014" s="17">
        <v>1866.5</v>
      </c>
      <c r="P1014" s="17">
        <v>2044.3</v>
      </c>
      <c r="Q1014" s="17">
        <v>1320.8</v>
      </c>
      <c r="R1014" s="17">
        <f t="shared" si="46"/>
        <v>787.7</v>
      </c>
      <c r="S1014" s="17">
        <v>1186.8</v>
      </c>
      <c r="T1014" s="17">
        <f t="shared" si="47"/>
        <v>679.7</v>
      </c>
    </row>
    <row r="1015" spans="1:20" x14ac:dyDescent="0.35">
      <c r="A1015" s="14" t="s">
        <v>103</v>
      </c>
      <c r="B1015" s="15" t="s">
        <v>104</v>
      </c>
      <c r="C1015" s="15" t="s">
        <v>64</v>
      </c>
      <c r="D1015" s="15" t="s">
        <v>65</v>
      </c>
      <c r="E1015" s="15" t="s">
        <v>89</v>
      </c>
      <c r="F1015" s="15" t="s">
        <v>83</v>
      </c>
      <c r="G1015" s="15" t="s">
        <v>84</v>
      </c>
      <c r="H1015" s="15" t="s">
        <v>72</v>
      </c>
      <c r="I1015" s="16">
        <v>70104</v>
      </c>
      <c r="J1015" s="16">
        <v>58341</v>
      </c>
      <c r="K1015" s="16">
        <v>69118</v>
      </c>
      <c r="L1015" s="17">
        <v>2434.4</v>
      </c>
      <c r="M1015" s="17">
        <v>166.9</v>
      </c>
      <c r="N1015" s="17">
        <f t="shared" si="45"/>
        <v>2267.5</v>
      </c>
      <c r="O1015" s="17">
        <v>1807.2</v>
      </c>
      <c r="P1015" s="17">
        <v>2219.6999999999998</v>
      </c>
      <c r="Q1015" s="17">
        <v>1318</v>
      </c>
      <c r="R1015" s="17">
        <f t="shared" si="46"/>
        <v>949.5</v>
      </c>
      <c r="S1015" s="17">
        <v>1058.5</v>
      </c>
      <c r="T1015" s="17">
        <f t="shared" si="47"/>
        <v>748.7</v>
      </c>
    </row>
    <row r="1016" spans="1:20" x14ac:dyDescent="0.35">
      <c r="A1016" s="14" t="s">
        <v>103</v>
      </c>
      <c r="B1016" s="15" t="s">
        <v>104</v>
      </c>
      <c r="C1016" s="15" t="s">
        <v>64</v>
      </c>
      <c r="D1016" s="15" t="s">
        <v>65</v>
      </c>
      <c r="E1016" s="15" t="s">
        <v>89</v>
      </c>
      <c r="F1016" s="15" t="s">
        <v>85</v>
      </c>
      <c r="G1016" s="15" t="s">
        <v>86</v>
      </c>
      <c r="H1016" s="15" t="s">
        <v>72</v>
      </c>
      <c r="I1016" s="16">
        <v>61211</v>
      </c>
      <c r="J1016" s="16">
        <v>56988</v>
      </c>
      <c r="K1016" s="16">
        <v>60725</v>
      </c>
      <c r="L1016" s="17">
        <v>1311.3</v>
      </c>
      <c r="M1016" s="17">
        <v>102.1</v>
      </c>
      <c r="N1016" s="17">
        <f t="shared" si="45"/>
        <v>1209.2</v>
      </c>
      <c r="O1016" s="17">
        <v>1063.0999999999999</v>
      </c>
      <c r="P1016" s="17">
        <v>1182.7</v>
      </c>
      <c r="Q1016" s="17">
        <v>807</v>
      </c>
      <c r="R1016" s="17">
        <f t="shared" si="46"/>
        <v>402.20000000000005</v>
      </c>
      <c r="S1016" s="17">
        <v>714.5</v>
      </c>
      <c r="T1016" s="17">
        <f t="shared" si="47"/>
        <v>348.59999999999991</v>
      </c>
    </row>
    <row r="1017" spans="1:20" x14ac:dyDescent="0.35">
      <c r="A1017" s="14" t="s">
        <v>103</v>
      </c>
      <c r="B1017" s="15" t="s">
        <v>104</v>
      </c>
      <c r="C1017" s="15" t="s">
        <v>64</v>
      </c>
      <c r="D1017" s="15" t="s">
        <v>65</v>
      </c>
      <c r="E1017" s="15" t="s">
        <v>89</v>
      </c>
      <c r="F1017" s="15" t="s">
        <v>87</v>
      </c>
      <c r="G1017" s="15" t="s">
        <v>88</v>
      </c>
      <c r="H1017" s="15" t="s">
        <v>72</v>
      </c>
      <c r="I1017" s="16">
        <v>22863</v>
      </c>
      <c r="J1017" s="16">
        <v>19347</v>
      </c>
      <c r="K1017" s="16">
        <v>22682</v>
      </c>
      <c r="L1017" s="17">
        <v>674.3</v>
      </c>
      <c r="M1017" s="17">
        <v>53.6</v>
      </c>
      <c r="N1017" s="17">
        <f t="shared" si="45"/>
        <v>620.69999999999993</v>
      </c>
      <c r="O1017" s="17">
        <v>502.6</v>
      </c>
      <c r="P1017" s="17">
        <v>601.9</v>
      </c>
      <c r="Q1017" s="17">
        <v>371.8</v>
      </c>
      <c r="R1017" s="17">
        <f t="shared" si="46"/>
        <v>248.89999999999992</v>
      </c>
      <c r="S1017" s="17">
        <v>303.60000000000002</v>
      </c>
      <c r="T1017" s="17">
        <f t="shared" si="47"/>
        <v>199</v>
      </c>
    </row>
    <row r="1018" spans="1:20" x14ac:dyDescent="0.35">
      <c r="A1018" s="14" t="s">
        <v>103</v>
      </c>
      <c r="B1018" s="15" t="s">
        <v>104</v>
      </c>
      <c r="C1018" s="15" t="s">
        <v>64</v>
      </c>
      <c r="D1018" s="15" t="s">
        <v>65</v>
      </c>
      <c r="E1018" s="15" t="s">
        <v>90</v>
      </c>
      <c r="F1018" s="15" t="s">
        <v>67</v>
      </c>
      <c r="G1018" s="15" t="s">
        <v>68</v>
      </c>
      <c r="H1018" s="15" t="s">
        <v>69</v>
      </c>
      <c r="I1018" s="16">
        <v>594883</v>
      </c>
      <c r="J1018" s="16">
        <v>586092</v>
      </c>
      <c r="K1018" s="16">
        <v>585492</v>
      </c>
      <c r="L1018" s="17">
        <v>3277</v>
      </c>
      <c r="M1018" s="17">
        <v>368.6</v>
      </c>
      <c r="N1018" s="17">
        <f t="shared" si="45"/>
        <v>2908.4</v>
      </c>
      <c r="O1018" s="17">
        <v>2746.1</v>
      </c>
      <c r="P1018" s="17">
        <v>2855.7</v>
      </c>
      <c r="Q1018" s="17">
        <v>1606.7</v>
      </c>
      <c r="R1018" s="17">
        <f t="shared" si="46"/>
        <v>1301.7</v>
      </c>
      <c r="S1018" s="17">
        <v>1532</v>
      </c>
      <c r="T1018" s="17">
        <f t="shared" si="47"/>
        <v>1214.0999999999999</v>
      </c>
    </row>
    <row r="1019" spans="1:20" x14ac:dyDescent="0.35">
      <c r="A1019" s="14" t="s">
        <v>103</v>
      </c>
      <c r="B1019" s="15" t="s">
        <v>104</v>
      </c>
      <c r="C1019" s="15" t="s">
        <v>64</v>
      </c>
      <c r="D1019" s="15" t="s">
        <v>65</v>
      </c>
      <c r="E1019" s="15" t="s">
        <v>90</v>
      </c>
      <c r="F1019" s="15" t="s">
        <v>67</v>
      </c>
      <c r="G1019" s="15" t="s">
        <v>68</v>
      </c>
      <c r="H1019" s="15" t="s">
        <v>70</v>
      </c>
      <c r="I1019" s="16">
        <v>750801</v>
      </c>
      <c r="J1019" s="16">
        <v>712554</v>
      </c>
      <c r="K1019" s="16">
        <v>744842</v>
      </c>
      <c r="L1019" s="17">
        <v>4662.7</v>
      </c>
      <c r="M1019" s="17">
        <v>500.3</v>
      </c>
      <c r="N1019" s="17">
        <f t="shared" si="45"/>
        <v>4162.3999999999996</v>
      </c>
      <c r="O1019" s="17">
        <v>3785.1</v>
      </c>
      <c r="P1019" s="17">
        <v>4100.8999999999996</v>
      </c>
      <c r="Q1019" s="17">
        <v>2321.1999999999998</v>
      </c>
      <c r="R1019" s="17">
        <f t="shared" si="46"/>
        <v>1841.1999999999998</v>
      </c>
      <c r="S1019" s="17">
        <v>2135.5</v>
      </c>
      <c r="T1019" s="17">
        <f t="shared" si="47"/>
        <v>1649.6</v>
      </c>
    </row>
    <row r="1020" spans="1:20" x14ac:dyDescent="0.35">
      <c r="A1020" s="14" t="s">
        <v>103</v>
      </c>
      <c r="B1020" s="15" t="s">
        <v>104</v>
      </c>
      <c r="C1020" s="15" t="s">
        <v>64</v>
      </c>
      <c r="D1020" s="15" t="s">
        <v>65</v>
      </c>
      <c r="E1020" s="15" t="s">
        <v>90</v>
      </c>
      <c r="F1020" s="15" t="s">
        <v>67</v>
      </c>
      <c r="G1020" s="15" t="s">
        <v>68</v>
      </c>
      <c r="H1020" s="15" t="s">
        <v>71</v>
      </c>
      <c r="I1020" s="16">
        <v>1039445</v>
      </c>
      <c r="J1020" s="16">
        <v>1017053</v>
      </c>
      <c r="K1020" s="16">
        <v>1025168</v>
      </c>
      <c r="L1020" s="17">
        <v>8551.7000000000007</v>
      </c>
      <c r="M1020" s="17">
        <v>973</v>
      </c>
      <c r="N1020" s="17">
        <f t="shared" si="45"/>
        <v>7578.7000000000007</v>
      </c>
      <c r="O1020" s="17">
        <v>7036</v>
      </c>
      <c r="P1020" s="17">
        <v>7363.8</v>
      </c>
      <c r="Q1020" s="17">
        <v>4719.3</v>
      </c>
      <c r="R1020" s="17">
        <f t="shared" si="46"/>
        <v>2859.4000000000005</v>
      </c>
      <c r="S1020" s="17">
        <v>4440.2</v>
      </c>
      <c r="T1020" s="17">
        <f t="shared" si="47"/>
        <v>2595.8000000000002</v>
      </c>
    </row>
    <row r="1021" spans="1:20" x14ac:dyDescent="0.35">
      <c r="A1021" s="14" t="s">
        <v>103</v>
      </c>
      <c r="B1021" s="15" t="s">
        <v>104</v>
      </c>
      <c r="C1021" s="15" t="s">
        <v>64</v>
      </c>
      <c r="D1021" s="15" t="s">
        <v>65</v>
      </c>
      <c r="E1021" s="15" t="s">
        <v>90</v>
      </c>
      <c r="F1021" s="15" t="s">
        <v>67</v>
      </c>
      <c r="G1021" s="15" t="s">
        <v>68</v>
      </c>
      <c r="H1021" s="15" t="s">
        <v>72</v>
      </c>
      <c r="I1021" s="16">
        <v>254559</v>
      </c>
      <c r="J1021" s="16">
        <v>243191</v>
      </c>
      <c r="K1021" s="16">
        <v>252539</v>
      </c>
      <c r="L1021" s="17">
        <v>2827.5</v>
      </c>
      <c r="M1021" s="17">
        <v>325.7</v>
      </c>
      <c r="N1021" s="17">
        <f t="shared" si="45"/>
        <v>2501.8000000000002</v>
      </c>
      <c r="O1021" s="17">
        <v>2277.1</v>
      </c>
      <c r="P1021" s="17">
        <v>2455.4</v>
      </c>
      <c r="Q1021" s="17">
        <v>1620.3</v>
      </c>
      <c r="R1021" s="17">
        <f t="shared" si="46"/>
        <v>881.50000000000023</v>
      </c>
      <c r="S1021" s="17">
        <v>1493.3</v>
      </c>
      <c r="T1021" s="17">
        <f t="shared" si="47"/>
        <v>783.8</v>
      </c>
    </row>
    <row r="1022" spans="1:20" x14ac:dyDescent="0.35">
      <c r="A1022" s="14" t="s">
        <v>103</v>
      </c>
      <c r="B1022" s="15" t="s">
        <v>104</v>
      </c>
      <c r="C1022" s="15" t="s">
        <v>64</v>
      </c>
      <c r="D1022" s="15" t="s">
        <v>65</v>
      </c>
      <c r="E1022" s="15" t="s">
        <v>90</v>
      </c>
      <c r="F1022" s="15" t="s">
        <v>67</v>
      </c>
      <c r="G1022" s="15" t="s">
        <v>73</v>
      </c>
      <c r="H1022" s="15" t="s">
        <v>71</v>
      </c>
      <c r="I1022" s="16">
        <v>269369</v>
      </c>
      <c r="J1022" s="16">
        <v>239454</v>
      </c>
      <c r="K1022" s="16">
        <v>266601</v>
      </c>
      <c r="L1022" s="17">
        <v>2141.4</v>
      </c>
      <c r="M1022" s="17">
        <v>230.8</v>
      </c>
      <c r="N1022" s="17">
        <f t="shared" si="45"/>
        <v>1910.6000000000001</v>
      </c>
      <c r="O1022" s="17">
        <v>1628.1</v>
      </c>
      <c r="P1022" s="17">
        <v>1878.3</v>
      </c>
      <c r="Q1022" s="17">
        <v>1182</v>
      </c>
      <c r="R1022" s="17">
        <f t="shared" si="46"/>
        <v>728.60000000000014</v>
      </c>
      <c r="S1022" s="17">
        <v>1028.2</v>
      </c>
      <c r="T1022" s="17">
        <f t="shared" si="47"/>
        <v>599.89999999999986</v>
      </c>
    </row>
    <row r="1023" spans="1:20" x14ac:dyDescent="0.35">
      <c r="A1023" s="14" t="s">
        <v>103</v>
      </c>
      <c r="B1023" s="15" t="s">
        <v>104</v>
      </c>
      <c r="C1023" s="15" t="s">
        <v>64</v>
      </c>
      <c r="D1023" s="15" t="s">
        <v>65</v>
      </c>
      <c r="E1023" s="15" t="s">
        <v>90</v>
      </c>
      <c r="F1023" s="15" t="s">
        <v>67</v>
      </c>
      <c r="G1023" s="15" t="s">
        <v>73</v>
      </c>
      <c r="H1023" s="15" t="s">
        <v>72</v>
      </c>
      <c r="I1023" s="16">
        <v>99247</v>
      </c>
      <c r="J1023" s="16">
        <v>85445</v>
      </c>
      <c r="K1023" s="16">
        <v>97846</v>
      </c>
      <c r="L1023" s="17">
        <v>1089.4000000000001</v>
      </c>
      <c r="M1023" s="17">
        <v>117.6</v>
      </c>
      <c r="N1023" s="17">
        <f t="shared" si="45"/>
        <v>971.80000000000007</v>
      </c>
      <c r="O1023" s="17">
        <v>790.4</v>
      </c>
      <c r="P1023" s="17">
        <v>957.4</v>
      </c>
      <c r="Q1023" s="17">
        <v>618.9</v>
      </c>
      <c r="R1023" s="17">
        <f t="shared" si="46"/>
        <v>352.90000000000009</v>
      </c>
      <c r="S1023" s="17">
        <v>507.8</v>
      </c>
      <c r="T1023" s="17">
        <f t="shared" si="47"/>
        <v>282.59999999999997</v>
      </c>
    </row>
    <row r="1024" spans="1:20" x14ac:dyDescent="0.35">
      <c r="A1024" s="14" t="s">
        <v>103</v>
      </c>
      <c r="B1024" s="15" t="s">
        <v>104</v>
      </c>
      <c r="C1024" s="15" t="s">
        <v>64</v>
      </c>
      <c r="D1024" s="15" t="s">
        <v>65</v>
      </c>
      <c r="E1024" s="15" t="s">
        <v>90</v>
      </c>
      <c r="F1024" s="15" t="s">
        <v>67</v>
      </c>
      <c r="G1024" s="15" t="s">
        <v>74</v>
      </c>
      <c r="H1024" s="15" t="s">
        <v>70</v>
      </c>
      <c r="I1024" s="16">
        <v>311872</v>
      </c>
      <c r="J1024" s="16">
        <v>292324</v>
      </c>
      <c r="K1024" s="16">
        <v>309397</v>
      </c>
      <c r="L1024" s="17">
        <v>1947.3</v>
      </c>
      <c r="M1024" s="17">
        <v>210.2</v>
      </c>
      <c r="N1024" s="17">
        <f t="shared" si="45"/>
        <v>1737.1</v>
      </c>
      <c r="O1024" s="17">
        <v>1558.9</v>
      </c>
      <c r="P1024" s="17">
        <v>1711.4</v>
      </c>
      <c r="Q1024" s="17">
        <v>979</v>
      </c>
      <c r="R1024" s="17">
        <f t="shared" si="46"/>
        <v>758.09999999999991</v>
      </c>
      <c r="S1024" s="17">
        <v>894.1</v>
      </c>
      <c r="T1024" s="17">
        <f t="shared" si="47"/>
        <v>664.80000000000007</v>
      </c>
    </row>
    <row r="1025" spans="1:20" x14ac:dyDescent="0.35">
      <c r="A1025" s="14" t="s">
        <v>103</v>
      </c>
      <c r="B1025" s="15" t="s">
        <v>104</v>
      </c>
      <c r="C1025" s="15" t="s">
        <v>64</v>
      </c>
      <c r="D1025" s="15" t="s">
        <v>65</v>
      </c>
      <c r="E1025" s="15" t="s">
        <v>90</v>
      </c>
      <c r="F1025" s="15" t="s">
        <v>67</v>
      </c>
      <c r="G1025" s="15" t="s">
        <v>74</v>
      </c>
      <c r="H1025" s="15" t="s">
        <v>71</v>
      </c>
      <c r="I1025" s="16">
        <v>370873</v>
      </c>
      <c r="J1025" s="16">
        <v>350953</v>
      </c>
      <c r="K1025" s="16">
        <v>366629</v>
      </c>
      <c r="L1025" s="17">
        <v>2886.1</v>
      </c>
      <c r="M1025" s="17">
        <v>294.39999999999998</v>
      </c>
      <c r="N1025" s="17">
        <f t="shared" si="45"/>
        <v>2591.6999999999998</v>
      </c>
      <c r="O1025" s="17">
        <v>2338</v>
      </c>
      <c r="P1025" s="17">
        <v>2553.4</v>
      </c>
      <c r="Q1025" s="17">
        <v>1611.6</v>
      </c>
      <c r="R1025" s="17">
        <f t="shared" si="46"/>
        <v>980.09999999999991</v>
      </c>
      <c r="S1025" s="17">
        <v>1483.8</v>
      </c>
      <c r="T1025" s="17">
        <f t="shared" si="47"/>
        <v>854.2</v>
      </c>
    </row>
    <row r="1026" spans="1:20" x14ac:dyDescent="0.35">
      <c r="A1026" s="14" t="s">
        <v>103</v>
      </c>
      <c r="B1026" s="15" t="s">
        <v>104</v>
      </c>
      <c r="C1026" s="15" t="s">
        <v>64</v>
      </c>
      <c r="D1026" s="15" t="s">
        <v>65</v>
      </c>
      <c r="E1026" s="15" t="s">
        <v>90</v>
      </c>
      <c r="F1026" s="15" t="s">
        <v>67</v>
      </c>
      <c r="G1026" s="15" t="s">
        <v>75</v>
      </c>
      <c r="H1026" s="15" t="s">
        <v>71</v>
      </c>
      <c r="I1026" s="16">
        <v>290505</v>
      </c>
      <c r="J1026" s="16">
        <v>280965</v>
      </c>
      <c r="K1026" s="16">
        <v>286603</v>
      </c>
      <c r="L1026" s="17">
        <v>2261.8000000000002</v>
      </c>
      <c r="M1026" s="17">
        <v>227.9</v>
      </c>
      <c r="N1026" s="17">
        <f t="shared" si="45"/>
        <v>2033.9</v>
      </c>
      <c r="O1026" s="17">
        <v>1861.2</v>
      </c>
      <c r="P1026" s="17">
        <v>1982.6</v>
      </c>
      <c r="Q1026" s="17">
        <v>1267.8</v>
      </c>
      <c r="R1026" s="17">
        <f t="shared" si="46"/>
        <v>766.10000000000014</v>
      </c>
      <c r="S1026" s="17">
        <v>1188</v>
      </c>
      <c r="T1026" s="17">
        <f t="shared" si="47"/>
        <v>673.2</v>
      </c>
    </row>
    <row r="1027" spans="1:20" x14ac:dyDescent="0.35">
      <c r="A1027" s="14" t="s">
        <v>103</v>
      </c>
      <c r="B1027" s="15" t="s">
        <v>104</v>
      </c>
      <c r="C1027" s="15" t="s">
        <v>64</v>
      </c>
      <c r="D1027" s="15" t="s">
        <v>65</v>
      </c>
      <c r="E1027" s="15" t="s">
        <v>90</v>
      </c>
      <c r="F1027" s="15" t="s">
        <v>67</v>
      </c>
      <c r="G1027" s="15" t="s">
        <v>76</v>
      </c>
      <c r="H1027" s="15" t="s">
        <v>72</v>
      </c>
      <c r="I1027" s="16">
        <v>72129</v>
      </c>
      <c r="J1027" s="16">
        <v>67666</v>
      </c>
      <c r="K1027" s="16">
        <v>70834</v>
      </c>
      <c r="L1027" s="17">
        <v>941.8</v>
      </c>
      <c r="M1027" s="17">
        <v>98.6</v>
      </c>
      <c r="N1027" s="17">
        <f t="shared" si="45"/>
        <v>843.19999999999993</v>
      </c>
      <c r="O1027" s="17">
        <v>747.2</v>
      </c>
      <c r="P1027" s="17">
        <v>819.6</v>
      </c>
      <c r="Q1027" s="17">
        <v>534.5</v>
      </c>
      <c r="R1027" s="17">
        <f t="shared" si="46"/>
        <v>308.69999999999993</v>
      </c>
      <c r="S1027" s="17">
        <v>480.4</v>
      </c>
      <c r="T1027" s="17">
        <f t="shared" si="47"/>
        <v>266.80000000000007</v>
      </c>
    </row>
    <row r="1028" spans="1:20" x14ac:dyDescent="0.35">
      <c r="A1028" s="14" t="s">
        <v>103</v>
      </c>
      <c r="B1028" s="15" t="s">
        <v>104</v>
      </c>
      <c r="C1028" s="15" t="s">
        <v>64</v>
      </c>
      <c r="D1028" s="15" t="s">
        <v>65</v>
      </c>
      <c r="E1028" s="15" t="s">
        <v>90</v>
      </c>
      <c r="F1028" s="15" t="s">
        <v>67</v>
      </c>
      <c r="G1028" s="15" t="s">
        <v>77</v>
      </c>
      <c r="H1028" s="15" t="s">
        <v>71</v>
      </c>
      <c r="I1028" s="16">
        <v>157138</v>
      </c>
      <c r="J1028" s="16">
        <v>148313</v>
      </c>
      <c r="K1028" s="16">
        <v>155891</v>
      </c>
      <c r="L1028" s="17">
        <v>1250.8</v>
      </c>
      <c r="M1028" s="17">
        <v>131.1</v>
      </c>
      <c r="N1028" s="17">
        <f t="shared" ref="N1028:N1091" si="48">L1028-M1028</f>
        <v>1119.7</v>
      </c>
      <c r="O1028" s="17">
        <v>1007.3</v>
      </c>
      <c r="P1028" s="17">
        <v>1091.3</v>
      </c>
      <c r="Q1028" s="17">
        <v>681.7</v>
      </c>
      <c r="R1028" s="17">
        <f t="shared" ref="R1028:R1091" si="49">N1028-Q1028</f>
        <v>438</v>
      </c>
      <c r="S1028" s="17">
        <v>621.1</v>
      </c>
      <c r="T1028" s="17">
        <f t="shared" ref="T1028:T1091" si="50">O1028-S1028</f>
        <v>386.19999999999993</v>
      </c>
    </row>
    <row r="1029" spans="1:20" x14ac:dyDescent="0.35">
      <c r="A1029" s="14" t="s">
        <v>103</v>
      </c>
      <c r="B1029" s="15" t="s">
        <v>104</v>
      </c>
      <c r="C1029" s="15" t="s">
        <v>64</v>
      </c>
      <c r="D1029" s="15" t="s">
        <v>65</v>
      </c>
      <c r="E1029" s="15" t="s">
        <v>90</v>
      </c>
      <c r="F1029" s="15" t="s">
        <v>67</v>
      </c>
      <c r="G1029" s="15" t="s">
        <v>78</v>
      </c>
      <c r="H1029" s="15" t="s">
        <v>71</v>
      </c>
      <c r="I1029" s="16">
        <v>219923</v>
      </c>
      <c r="J1029" s="16">
        <v>209854</v>
      </c>
      <c r="K1029" s="16">
        <v>217836</v>
      </c>
      <c r="L1029" s="17">
        <v>1709.8</v>
      </c>
      <c r="M1029" s="17">
        <v>202.7</v>
      </c>
      <c r="N1029" s="17">
        <f t="shared" si="48"/>
        <v>1507.1</v>
      </c>
      <c r="O1029" s="17">
        <v>1359.7</v>
      </c>
      <c r="P1029" s="17">
        <v>1462.5</v>
      </c>
      <c r="Q1029" s="17">
        <v>952.2</v>
      </c>
      <c r="R1029" s="17">
        <f t="shared" si="49"/>
        <v>554.89999999999986</v>
      </c>
      <c r="S1029" s="17">
        <v>878.1</v>
      </c>
      <c r="T1029" s="17">
        <f t="shared" si="50"/>
        <v>481.6</v>
      </c>
    </row>
    <row r="1030" spans="1:20" x14ac:dyDescent="0.35">
      <c r="A1030" s="14" t="s">
        <v>103</v>
      </c>
      <c r="B1030" s="15" t="s">
        <v>104</v>
      </c>
      <c r="C1030" s="15" t="s">
        <v>64</v>
      </c>
      <c r="D1030" s="15" t="s">
        <v>65</v>
      </c>
      <c r="E1030" s="15" t="s">
        <v>90</v>
      </c>
      <c r="F1030" s="15" t="s">
        <v>79</v>
      </c>
      <c r="G1030" s="15" t="s">
        <v>80</v>
      </c>
      <c r="H1030" s="15" t="s">
        <v>71</v>
      </c>
      <c r="I1030" s="16">
        <v>330080</v>
      </c>
      <c r="J1030" s="16">
        <v>310605</v>
      </c>
      <c r="K1030" s="16">
        <v>326835</v>
      </c>
      <c r="L1030" s="17">
        <v>1694.5</v>
      </c>
      <c r="M1030" s="17">
        <v>186.9</v>
      </c>
      <c r="N1030" s="17">
        <f t="shared" si="48"/>
        <v>1507.6</v>
      </c>
      <c r="O1030" s="17">
        <v>1356.9</v>
      </c>
      <c r="P1030" s="17">
        <v>1485.3</v>
      </c>
      <c r="Q1030" s="17">
        <v>926.1</v>
      </c>
      <c r="R1030" s="17">
        <f t="shared" si="49"/>
        <v>581.49999999999989</v>
      </c>
      <c r="S1030" s="17">
        <v>843</v>
      </c>
      <c r="T1030" s="17">
        <f t="shared" si="50"/>
        <v>513.90000000000009</v>
      </c>
    </row>
    <row r="1031" spans="1:20" x14ac:dyDescent="0.35">
      <c r="A1031" s="14" t="s">
        <v>103</v>
      </c>
      <c r="B1031" s="15" t="s">
        <v>104</v>
      </c>
      <c r="C1031" s="15" t="s">
        <v>64</v>
      </c>
      <c r="D1031" s="15" t="s">
        <v>65</v>
      </c>
      <c r="E1031" s="15" t="s">
        <v>90</v>
      </c>
      <c r="F1031" s="15" t="s">
        <v>81</v>
      </c>
      <c r="G1031" s="15" t="s">
        <v>82</v>
      </c>
      <c r="H1031" s="15" t="s">
        <v>71</v>
      </c>
      <c r="I1031" s="16">
        <v>97128</v>
      </c>
      <c r="J1031" s="16">
        <v>90485</v>
      </c>
      <c r="K1031" s="16">
        <v>95823</v>
      </c>
      <c r="L1031" s="17">
        <v>996.5</v>
      </c>
      <c r="M1031" s="17">
        <v>104.7</v>
      </c>
      <c r="N1031" s="17">
        <f t="shared" si="48"/>
        <v>891.8</v>
      </c>
      <c r="O1031" s="17">
        <v>798.8</v>
      </c>
      <c r="P1031" s="17">
        <v>878.6</v>
      </c>
      <c r="Q1031" s="17">
        <v>552.5</v>
      </c>
      <c r="R1031" s="17">
        <f t="shared" si="49"/>
        <v>339.29999999999995</v>
      </c>
      <c r="S1031" s="17">
        <v>502.5</v>
      </c>
      <c r="T1031" s="17">
        <f t="shared" si="50"/>
        <v>296.29999999999995</v>
      </c>
    </row>
    <row r="1032" spans="1:20" x14ac:dyDescent="0.35">
      <c r="A1032" s="14" t="s">
        <v>103</v>
      </c>
      <c r="B1032" s="15" t="s">
        <v>104</v>
      </c>
      <c r="C1032" s="15" t="s">
        <v>64</v>
      </c>
      <c r="D1032" s="15" t="s">
        <v>65</v>
      </c>
      <c r="E1032" s="15" t="s">
        <v>90</v>
      </c>
      <c r="F1032" s="15" t="s">
        <v>83</v>
      </c>
      <c r="G1032" s="15" t="s">
        <v>84</v>
      </c>
      <c r="H1032" s="15" t="s">
        <v>72</v>
      </c>
      <c r="I1032" s="16">
        <v>53441</v>
      </c>
      <c r="J1032" s="16">
        <v>44762</v>
      </c>
      <c r="K1032" s="16">
        <v>52519</v>
      </c>
      <c r="L1032" s="17">
        <v>1774</v>
      </c>
      <c r="M1032" s="17">
        <v>186.2</v>
      </c>
      <c r="N1032" s="17">
        <f t="shared" si="48"/>
        <v>1587.8</v>
      </c>
      <c r="O1032" s="17">
        <v>1270.0999999999999</v>
      </c>
      <c r="P1032" s="17">
        <v>1558.4</v>
      </c>
      <c r="Q1032" s="17">
        <v>902.8</v>
      </c>
      <c r="R1032" s="17">
        <f t="shared" si="49"/>
        <v>685</v>
      </c>
      <c r="S1032" s="17">
        <v>731.3</v>
      </c>
      <c r="T1032" s="17">
        <f t="shared" si="50"/>
        <v>538.79999999999995</v>
      </c>
    </row>
    <row r="1033" spans="1:20" x14ac:dyDescent="0.35">
      <c r="A1033" s="14" t="s">
        <v>103</v>
      </c>
      <c r="B1033" s="15" t="s">
        <v>104</v>
      </c>
      <c r="C1033" s="15" t="s">
        <v>64</v>
      </c>
      <c r="D1033" s="15" t="s">
        <v>65</v>
      </c>
      <c r="E1033" s="15" t="s">
        <v>90</v>
      </c>
      <c r="F1033" s="15" t="s">
        <v>85</v>
      </c>
      <c r="G1033" s="15" t="s">
        <v>86</v>
      </c>
      <c r="H1033" s="15" t="s">
        <v>72</v>
      </c>
      <c r="I1033" s="16">
        <v>41482</v>
      </c>
      <c r="J1033" s="16">
        <v>38668</v>
      </c>
      <c r="K1033" s="16">
        <v>40713</v>
      </c>
      <c r="L1033" s="17">
        <v>795.6</v>
      </c>
      <c r="M1033" s="17">
        <v>89.9</v>
      </c>
      <c r="N1033" s="17">
        <f t="shared" si="48"/>
        <v>705.7</v>
      </c>
      <c r="O1033" s="17">
        <v>629.20000000000005</v>
      </c>
      <c r="P1033" s="17">
        <v>693.3</v>
      </c>
      <c r="Q1033" s="17">
        <v>466.3</v>
      </c>
      <c r="R1033" s="17">
        <f t="shared" si="49"/>
        <v>239.40000000000003</v>
      </c>
      <c r="S1033" s="17">
        <v>422.8</v>
      </c>
      <c r="T1033" s="17">
        <f t="shared" si="50"/>
        <v>206.40000000000003</v>
      </c>
    </row>
    <row r="1034" spans="1:20" x14ac:dyDescent="0.35">
      <c r="A1034" s="14" t="s">
        <v>103</v>
      </c>
      <c r="B1034" s="15" t="s">
        <v>104</v>
      </c>
      <c r="C1034" s="15" t="s">
        <v>64</v>
      </c>
      <c r="D1034" s="15" t="s">
        <v>65</v>
      </c>
      <c r="E1034" s="15" t="s">
        <v>90</v>
      </c>
      <c r="F1034" s="15" t="s">
        <v>87</v>
      </c>
      <c r="G1034" s="15" t="s">
        <v>88</v>
      </c>
      <c r="H1034" s="15" t="s">
        <v>72</v>
      </c>
      <c r="I1034" s="16">
        <v>18775</v>
      </c>
      <c r="J1034" s="16">
        <v>16087</v>
      </c>
      <c r="K1034" s="16">
        <v>18508</v>
      </c>
      <c r="L1034" s="17">
        <v>501</v>
      </c>
      <c r="M1034" s="17">
        <v>51</v>
      </c>
      <c r="N1034" s="17">
        <f t="shared" si="48"/>
        <v>450</v>
      </c>
      <c r="O1034" s="17">
        <v>366</v>
      </c>
      <c r="P1034" s="17">
        <v>443.3</v>
      </c>
      <c r="Q1034" s="17">
        <v>268.89999999999998</v>
      </c>
      <c r="R1034" s="17">
        <f t="shared" si="49"/>
        <v>181.10000000000002</v>
      </c>
      <c r="S1034" s="17">
        <v>220.7</v>
      </c>
      <c r="T1034" s="17">
        <f t="shared" si="50"/>
        <v>145.30000000000001</v>
      </c>
    </row>
    <row r="1035" spans="1:20" x14ac:dyDescent="0.35">
      <c r="A1035" s="14" t="s">
        <v>103</v>
      </c>
      <c r="B1035" s="15" t="s">
        <v>104</v>
      </c>
      <c r="C1035" s="15" t="s">
        <v>64</v>
      </c>
      <c r="D1035" s="15" t="s">
        <v>65</v>
      </c>
      <c r="E1035" s="15" t="s">
        <v>91</v>
      </c>
      <c r="F1035" s="15" t="s">
        <v>67</v>
      </c>
      <c r="G1035" s="15" t="s">
        <v>68</v>
      </c>
      <c r="H1035" s="15" t="s">
        <v>69</v>
      </c>
      <c r="I1035" s="16">
        <v>381641</v>
      </c>
      <c r="J1035" s="16">
        <v>358663</v>
      </c>
      <c r="K1035" s="16">
        <v>377142</v>
      </c>
      <c r="L1035" s="17">
        <v>2522.3000000000002</v>
      </c>
      <c r="M1035" s="17">
        <v>136.9</v>
      </c>
      <c r="N1035" s="17">
        <f t="shared" si="48"/>
        <v>2385.4</v>
      </c>
      <c r="O1035" s="17">
        <v>2117.3000000000002</v>
      </c>
      <c r="P1035" s="17">
        <v>2334.6999999999998</v>
      </c>
      <c r="Q1035" s="17">
        <v>1305.9000000000001</v>
      </c>
      <c r="R1035" s="17">
        <f t="shared" si="49"/>
        <v>1079.5</v>
      </c>
      <c r="S1035" s="17">
        <v>1177.7</v>
      </c>
      <c r="T1035" s="17">
        <f t="shared" si="50"/>
        <v>939.60000000000014</v>
      </c>
    </row>
    <row r="1036" spans="1:20" x14ac:dyDescent="0.35">
      <c r="A1036" s="14" t="s">
        <v>103</v>
      </c>
      <c r="B1036" s="15" t="s">
        <v>104</v>
      </c>
      <c r="C1036" s="15" t="s">
        <v>64</v>
      </c>
      <c r="D1036" s="15" t="s">
        <v>65</v>
      </c>
      <c r="E1036" s="15" t="s">
        <v>91</v>
      </c>
      <c r="F1036" s="15" t="s">
        <v>67</v>
      </c>
      <c r="G1036" s="15" t="s">
        <v>68</v>
      </c>
      <c r="H1036" s="15" t="s">
        <v>70</v>
      </c>
      <c r="I1036" s="16">
        <v>169720</v>
      </c>
      <c r="J1036" s="16">
        <v>154685</v>
      </c>
      <c r="K1036" s="16">
        <v>168373</v>
      </c>
      <c r="L1036" s="17">
        <v>1302.4000000000001</v>
      </c>
      <c r="M1036" s="17">
        <v>55.1</v>
      </c>
      <c r="N1036" s="17">
        <f t="shared" si="48"/>
        <v>1247.3000000000002</v>
      </c>
      <c r="O1036" s="17">
        <v>1083.0999999999999</v>
      </c>
      <c r="P1036" s="17">
        <v>1224.4000000000001</v>
      </c>
      <c r="Q1036" s="17">
        <v>724.3</v>
      </c>
      <c r="R1036" s="17">
        <f t="shared" si="49"/>
        <v>523.00000000000023</v>
      </c>
      <c r="S1036" s="17">
        <v>641.29999999999995</v>
      </c>
      <c r="T1036" s="17">
        <f t="shared" si="50"/>
        <v>441.79999999999995</v>
      </c>
    </row>
    <row r="1037" spans="1:20" x14ac:dyDescent="0.35">
      <c r="A1037" s="14" t="s">
        <v>103</v>
      </c>
      <c r="B1037" s="15" t="s">
        <v>104</v>
      </c>
      <c r="C1037" s="15" t="s">
        <v>64</v>
      </c>
      <c r="D1037" s="15" t="s">
        <v>65</v>
      </c>
      <c r="E1037" s="15" t="s">
        <v>91</v>
      </c>
      <c r="F1037" s="15" t="s">
        <v>67</v>
      </c>
      <c r="G1037" s="15" t="s">
        <v>68</v>
      </c>
      <c r="H1037" s="15" t="s">
        <v>71</v>
      </c>
      <c r="I1037" s="16">
        <v>354728</v>
      </c>
      <c r="J1037" s="16">
        <v>328819</v>
      </c>
      <c r="K1037" s="16">
        <v>350925</v>
      </c>
      <c r="L1037" s="17">
        <v>3484.8</v>
      </c>
      <c r="M1037" s="17">
        <v>200.6</v>
      </c>
      <c r="N1037" s="17">
        <f t="shared" si="48"/>
        <v>3284.2000000000003</v>
      </c>
      <c r="O1037" s="17">
        <v>2896.9</v>
      </c>
      <c r="P1037" s="17">
        <v>3222</v>
      </c>
      <c r="Q1037" s="17">
        <v>2058.9</v>
      </c>
      <c r="R1037" s="17">
        <f t="shared" si="49"/>
        <v>1225.3000000000002</v>
      </c>
      <c r="S1037" s="17">
        <v>1836.5</v>
      </c>
      <c r="T1037" s="17">
        <f t="shared" si="50"/>
        <v>1060.4000000000001</v>
      </c>
    </row>
    <row r="1038" spans="1:20" x14ac:dyDescent="0.35">
      <c r="A1038" s="14" t="s">
        <v>103</v>
      </c>
      <c r="B1038" s="15" t="s">
        <v>104</v>
      </c>
      <c r="C1038" s="15" t="s">
        <v>64</v>
      </c>
      <c r="D1038" s="15" t="s">
        <v>65</v>
      </c>
      <c r="E1038" s="15" t="s">
        <v>91</v>
      </c>
      <c r="F1038" s="15" t="s">
        <v>67</v>
      </c>
      <c r="G1038" s="15" t="s">
        <v>68</v>
      </c>
      <c r="H1038" s="15" t="s">
        <v>72</v>
      </c>
      <c r="I1038" s="16">
        <v>158728</v>
      </c>
      <c r="J1038" s="16">
        <v>145056</v>
      </c>
      <c r="K1038" s="16">
        <v>156110</v>
      </c>
      <c r="L1038" s="17">
        <v>2063.6</v>
      </c>
      <c r="M1038" s="17">
        <v>89.5</v>
      </c>
      <c r="N1038" s="17">
        <f t="shared" si="48"/>
        <v>1974.1</v>
      </c>
      <c r="O1038" s="17">
        <v>1723.9</v>
      </c>
      <c r="P1038" s="17">
        <v>1943.7</v>
      </c>
      <c r="Q1038" s="17">
        <v>1267.7</v>
      </c>
      <c r="R1038" s="17">
        <f t="shared" si="49"/>
        <v>706.39999999999986</v>
      </c>
      <c r="S1038" s="17">
        <v>1127.3</v>
      </c>
      <c r="T1038" s="17">
        <f t="shared" si="50"/>
        <v>596.60000000000014</v>
      </c>
    </row>
    <row r="1039" spans="1:20" x14ac:dyDescent="0.35">
      <c r="A1039" s="14" t="s">
        <v>103</v>
      </c>
      <c r="B1039" s="15" t="s">
        <v>104</v>
      </c>
      <c r="C1039" s="15" t="s">
        <v>64</v>
      </c>
      <c r="D1039" s="15" t="s">
        <v>65</v>
      </c>
      <c r="E1039" s="15" t="s">
        <v>91</v>
      </c>
      <c r="F1039" s="15" t="s">
        <v>67</v>
      </c>
      <c r="G1039" s="15" t="s">
        <v>73</v>
      </c>
      <c r="H1039" s="15" t="s">
        <v>71</v>
      </c>
      <c r="I1039" s="16">
        <v>86082</v>
      </c>
      <c r="J1039" s="16">
        <v>72659</v>
      </c>
      <c r="K1039" s="16">
        <v>84956</v>
      </c>
      <c r="L1039" s="17">
        <v>794.9</v>
      </c>
      <c r="M1039" s="17">
        <v>36.5</v>
      </c>
      <c r="N1039" s="17">
        <f t="shared" si="48"/>
        <v>758.4</v>
      </c>
      <c r="O1039" s="17">
        <v>615</v>
      </c>
      <c r="P1039" s="17">
        <v>739.9</v>
      </c>
      <c r="Q1039" s="17">
        <v>479.5</v>
      </c>
      <c r="R1039" s="17">
        <f t="shared" si="49"/>
        <v>278.89999999999998</v>
      </c>
      <c r="S1039" s="17">
        <v>393.7</v>
      </c>
      <c r="T1039" s="17">
        <f t="shared" si="50"/>
        <v>221.3</v>
      </c>
    </row>
    <row r="1040" spans="1:20" x14ac:dyDescent="0.35">
      <c r="A1040" s="14" t="s">
        <v>103</v>
      </c>
      <c r="B1040" s="15" t="s">
        <v>104</v>
      </c>
      <c r="C1040" s="15" t="s">
        <v>64</v>
      </c>
      <c r="D1040" s="15" t="s">
        <v>65</v>
      </c>
      <c r="E1040" s="15" t="s">
        <v>91</v>
      </c>
      <c r="F1040" s="15" t="s">
        <v>67</v>
      </c>
      <c r="G1040" s="15" t="s">
        <v>73</v>
      </c>
      <c r="H1040" s="15" t="s">
        <v>72</v>
      </c>
      <c r="I1040" s="16">
        <v>52287</v>
      </c>
      <c r="J1040" s="16">
        <v>43200</v>
      </c>
      <c r="K1040" s="16">
        <v>51834</v>
      </c>
      <c r="L1040" s="17">
        <v>675.1</v>
      </c>
      <c r="M1040" s="17">
        <v>29.9</v>
      </c>
      <c r="N1040" s="17">
        <f t="shared" si="48"/>
        <v>645.20000000000005</v>
      </c>
      <c r="O1040" s="17">
        <v>507.5</v>
      </c>
      <c r="P1040" s="17">
        <v>632</v>
      </c>
      <c r="Q1040" s="17">
        <v>410.4</v>
      </c>
      <c r="R1040" s="17">
        <f t="shared" si="49"/>
        <v>234.80000000000007</v>
      </c>
      <c r="S1040" s="17">
        <v>325.2</v>
      </c>
      <c r="T1040" s="17">
        <f t="shared" si="50"/>
        <v>182.3</v>
      </c>
    </row>
    <row r="1041" spans="1:20" x14ac:dyDescent="0.35">
      <c r="A1041" s="14" t="s">
        <v>103</v>
      </c>
      <c r="B1041" s="15" t="s">
        <v>104</v>
      </c>
      <c r="C1041" s="15" t="s">
        <v>64</v>
      </c>
      <c r="D1041" s="15" t="s">
        <v>65</v>
      </c>
      <c r="E1041" s="15" t="s">
        <v>91</v>
      </c>
      <c r="F1041" s="15" t="s">
        <v>67</v>
      </c>
      <c r="G1041" s="15" t="s">
        <v>74</v>
      </c>
      <c r="H1041" s="15" t="s">
        <v>70</v>
      </c>
      <c r="I1041" s="16">
        <v>72777</v>
      </c>
      <c r="J1041" s="16">
        <v>65212</v>
      </c>
      <c r="K1041" s="16">
        <v>72199</v>
      </c>
      <c r="L1041" s="17">
        <v>534.4</v>
      </c>
      <c r="M1041" s="17">
        <v>29.4</v>
      </c>
      <c r="N1041" s="17">
        <f t="shared" si="48"/>
        <v>505</v>
      </c>
      <c r="O1041" s="17">
        <v>433.4</v>
      </c>
      <c r="P1041" s="17">
        <v>495.5</v>
      </c>
      <c r="Q1041" s="17">
        <v>282.60000000000002</v>
      </c>
      <c r="R1041" s="17">
        <f t="shared" si="49"/>
        <v>222.39999999999998</v>
      </c>
      <c r="S1041" s="17">
        <v>245</v>
      </c>
      <c r="T1041" s="17">
        <f t="shared" si="50"/>
        <v>188.39999999999998</v>
      </c>
    </row>
    <row r="1042" spans="1:20" x14ac:dyDescent="0.35">
      <c r="A1042" s="14" t="s">
        <v>103</v>
      </c>
      <c r="B1042" s="15" t="s">
        <v>104</v>
      </c>
      <c r="C1042" s="15" t="s">
        <v>64</v>
      </c>
      <c r="D1042" s="15" t="s">
        <v>65</v>
      </c>
      <c r="E1042" s="15" t="s">
        <v>91</v>
      </c>
      <c r="F1042" s="15" t="s">
        <v>67</v>
      </c>
      <c r="G1042" s="15" t="s">
        <v>74</v>
      </c>
      <c r="H1042" s="15" t="s">
        <v>71</v>
      </c>
      <c r="I1042" s="16">
        <v>133959</v>
      </c>
      <c r="J1042" s="16">
        <v>123910</v>
      </c>
      <c r="K1042" s="16">
        <v>132106</v>
      </c>
      <c r="L1042" s="17">
        <v>1232.4000000000001</v>
      </c>
      <c r="M1042" s="17">
        <v>59.1</v>
      </c>
      <c r="N1042" s="17">
        <f t="shared" si="48"/>
        <v>1173.3000000000002</v>
      </c>
      <c r="O1042" s="17">
        <v>1040.5999999999999</v>
      </c>
      <c r="P1042" s="17">
        <v>1145.8</v>
      </c>
      <c r="Q1042" s="17">
        <v>738.6</v>
      </c>
      <c r="R1042" s="17">
        <f t="shared" si="49"/>
        <v>434.70000000000016</v>
      </c>
      <c r="S1042" s="17">
        <v>662.2</v>
      </c>
      <c r="T1042" s="17">
        <f t="shared" si="50"/>
        <v>378.39999999999986</v>
      </c>
    </row>
    <row r="1043" spans="1:20" x14ac:dyDescent="0.35">
      <c r="A1043" s="14" t="s">
        <v>103</v>
      </c>
      <c r="B1043" s="15" t="s">
        <v>104</v>
      </c>
      <c r="C1043" s="15" t="s">
        <v>64</v>
      </c>
      <c r="D1043" s="15" t="s">
        <v>65</v>
      </c>
      <c r="E1043" s="15" t="s">
        <v>91</v>
      </c>
      <c r="F1043" s="15" t="s">
        <v>67</v>
      </c>
      <c r="G1043" s="15" t="s">
        <v>75</v>
      </c>
      <c r="H1043" s="15" t="s">
        <v>71</v>
      </c>
      <c r="I1043" s="16">
        <v>91131</v>
      </c>
      <c r="J1043" s="16">
        <v>84496</v>
      </c>
      <c r="K1043" s="16">
        <v>90408</v>
      </c>
      <c r="L1043" s="17">
        <v>833.3</v>
      </c>
      <c r="M1043" s="17">
        <v>46.1</v>
      </c>
      <c r="N1043" s="17">
        <f t="shared" si="48"/>
        <v>787.19999999999993</v>
      </c>
      <c r="O1043" s="17">
        <v>691</v>
      </c>
      <c r="P1043" s="17">
        <v>769.3</v>
      </c>
      <c r="Q1043" s="17">
        <v>495.8</v>
      </c>
      <c r="R1043" s="17">
        <f t="shared" si="49"/>
        <v>291.39999999999992</v>
      </c>
      <c r="S1043" s="17">
        <v>442.7</v>
      </c>
      <c r="T1043" s="17">
        <f t="shared" si="50"/>
        <v>248.3</v>
      </c>
    </row>
    <row r="1044" spans="1:20" x14ac:dyDescent="0.35">
      <c r="A1044" s="14" t="s">
        <v>103</v>
      </c>
      <c r="B1044" s="15" t="s">
        <v>104</v>
      </c>
      <c r="C1044" s="15" t="s">
        <v>64</v>
      </c>
      <c r="D1044" s="15" t="s">
        <v>65</v>
      </c>
      <c r="E1044" s="15" t="s">
        <v>91</v>
      </c>
      <c r="F1044" s="15" t="s">
        <v>67</v>
      </c>
      <c r="G1044" s="15" t="s">
        <v>76</v>
      </c>
      <c r="H1044" s="15" t="s">
        <v>72</v>
      </c>
      <c r="I1044" s="16">
        <v>108737</v>
      </c>
      <c r="J1044" s="16">
        <v>97177</v>
      </c>
      <c r="K1044" s="16">
        <v>106605</v>
      </c>
      <c r="L1044" s="17">
        <v>1689.1</v>
      </c>
      <c r="M1044" s="17">
        <v>84.8</v>
      </c>
      <c r="N1044" s="17">
        <f t="shared" si="48"/>
        <v>1604.3</v>
      </c>
      <c r="O1044" s="17">
        <v>1372.4</v>
      </c>
      <c r="P1044" s="17">
        <v>1577.3</v>
      </c>
      <c r="Q1044" s="17">
        <v>999.5</v>
      </c>
      <c r="R1044" s="17">
        <f t="shared" si="49"/>
        <v>604.79999999999995</v>
      </c>
      <c r="S1044" s="17">
        <v>861.5</v>
      </c>
      <c r="T1044" s="17">
        <f t="shared" si="50"/>
        <v>510.90000000000009</v>
      </c>
    </row>
    <row r="1045" spans="1:20" x14ac:dyDescent="0.35">
      <c r="A1045" s="14" t="s">
        <v>103</v>
      </c>
      <c r="B1045" s="15" t="s">
        <v>104</v>
      </c>
      <c r="C1045" s="15" t="s">
        <v>64</v>
      </c>
      <c r="D1045" s="15" t="s">
        <v>65</v>
      </c>
      <c r="E1045" s="15" t="s">
        <v>91</v>
      </c>
      <c r="F1045" s="15" t="s">
        <v>67</v>
      </c>
      <c r="G1045" s="15" t="s">
        <v>77</v>
      </c>
      <c r="H1045" s="15" t="s">
        <v>71</v>
      </c>
      <c r="I1045" s="16">
        <v>47532</v>
      </c>
      <c r="J1045" s="16">
        <v>43358</v>
      </c>
      <c r="K1045" s="16">
        <v>46988</v>
      </c>
      <c r="L1045" s="17">
        <v>448.9</v>
      </c>
      <c r="M1045" s="17">
        <v>19.3</v>
      </c>
      <c r="N1045" s="17">
        <f t="shared" si="48"/>
        <v>429.59999999999997</v>
      </c>
      <c r="O1045" s="17">
        <v>371.4</v>
      </c>
      <c r="P1045" s="17">
        <v>416.6</v>
      </c>
      <c r="Q1045" s="17">
        <v>268.5</v>
      </c>
      <c r="R1045" s="17">
        <f t="shared" si="49"/>
        <v>161.09999999999997</v>
      </c>
      <c r="S1045" s="17">
        <v>234.5</v>
      </c>
      <c r="T1045" s="17">
        <f t="shared" si="50"/>
        <v>136.89999999999998</v>
      </c>
    </row>
    <row r="1046" spans="1:20" x14ac:dyDescent="0.35">
      <c r="A1046" s="14" t="s">
        <v>103</v>
      </c>
      <c r="B1046" s="15" t="s">
        <v>104</v>
      </c>
      <c r="C1046" s="15" t="s">
        <v>64</v>
      </c>
      <c r="D1046" s="15" t="s">
        <v>65</v>
      </c>
      <c r="E1046" s="15" t="s">
        <v>91</v>
      </c>
      <c r="F1046" s="15" t="s">
        <v>67</v>
      </c>
      <c r="G1046" s="15" t="s">
        <v>78</v>
      </c>
      <c r="H1046" s="15" t="s">
        <v>71</v>
      </c>
      <c r="I1046" s="16">
        <v>68978</v>
      </c>
      <c r="J1046" s="16">
        <v>62482</v>
      </c>
      <c r="K1046" s="16">
        <v>68431</v>
      </c>
      <c r="L1046" s="17">
        <v>637.79999999999995</v>
      </c>
      <c r="M1046" s="17">
        <v>36.9</v>
      </c>
      <c r="N1046" s="17">
        <f t="shared" si="48"/>
        <v>600.9</v>
      </c>
      <c r="O1046" s="17">
        <v>517</v>
      </c>
      <c r="P1046" s="17">
        <v>589.20000000000005</v>
      </c>
      <c r="Q1046" s="17">
        <v>373.9</v>
      </c>
      <c r="R1046" s="17">
        <f t="shared" si="49"/>
        <v>227</v>
      </c>
      <c r="S1046" s="17">
        <v>325</v>
      </c>
      <c r="T1046" s="17">
        <f t="shared" si="50"/>
        <v>192</v>
      </c>
    </row>
    <row r="1047" spans="1:20" x14ac:dyDescent="0.35">
      <c r="A1047" s="14" t="s">
        <v>103</v>
      </c>
      <c r="B1047" s="15" t="s">
        <v>104</v>
      </c>
      <c r="C1047" s="15" t="s">
        <v>64</v>
      </c>
      <c r="D1047" s="15" t="s">
        <v>65</v>
      </c>
      <c r="E1047" s="15" t="s">
        <v>91</v>
      </c>
      <c r="F1047" s="15" t="s">
        <v>79</v>
      </c>
      <c r="G1047" s="15" t="s">
        <v>80</v>
      </c>
      <c r="H1047" s="15" t="s">
        <v>71</v>
      </c>
      <c r="I1047" s="16">
        <v>91643</v>
      </c>
      <c r="J1047" s="16">
        <v>83070</v>
      </c>
      <c r="K1047" s="16">
        <v>90916</v>
      </c>
      <c r="L1047" s="17">
        <v>556.1</v>
      </c>
      <c r="M1047" s="17">
        <v>30.1</v>
      </c>
      <c r="N1047" s="17">
        <f t="shared" si="48"/>
        <v>526</v>
      </c>
      <c r="O1047" s="17">
        <v>455.5</v>
      </c>
      <c r="P1047" s="17">
        <v>518.20000000000005</v>
      </c>
      <c r="Q1047" s="17">
        <v>316.8</v>
      </c>
      <c r="R1047" s="17">
        <f t="shared" si="49"/>
        <v>209.2</v>
      </c>
      <c r="S1047" s="17">
        <v>276.60000000000002</v>
      </c>
      <c r="T1047" s="17">
        <f t="shared" si="50"/>
        <v>178.89999999999998</v>
      </c>
    </row>
    <row r="1048" spans="1:20" x14ac:dyDescent="0.35">
      <c r="A1048" s="14" t="s">
        <v>103</v>
      </c>
      <c r="B1048" s="15" t="s">
        <v>104</v>
      </c>
      <c r="C1048" s="15" t="s">
        <v>64</v>
      </c>
      <c r="D1048" s="15" t="s">
        <v>65</v>
      </c>
      <c r="E1048" s="15" t="s">
        <v>91</v>
      </c>
      <c r="F1048" s="15" t="s">
        <v>81</v>
      </c>
      <c r="G1048" s="15" t="s">
        <v>82</v>
      </c>
      <c r="H1048" s="15" t="s">
        <v>71</v>
      </c>
      <c r="I1048" s="16">
        <v>31169</v>
      </c>
      <c r="J1048" s="16">
        <v>27645</v>
      </c>
      <c r="K1048" s="16">
        <v>30732</v>
      </c>
      <c r="L1048" s="17">
        <v>370.9</v>
      </c>
      <c r="M1048" s="17">
        <v>14.8</v>
      </c>
      <c r="N1048" s="17">
        <f t="shared" si="48"/>
        <v>356.09999999999997</v>
      </c>
      <c r="O1048" s="17">
        <v>301.2</v>
      </c>
      <c r="P1048" s="17">
        <v>347.2</v>
      </c>
      <c r="Q1048" s="17">
        <v>225.4</v>
      </c>
      <c r="R1048" s="17">
        <f t="shared" si="49"/>
        <v>130.69999999999996</v>
      </c>
      <c r="S1048" s="17">
        <v>194.4</v>
      </c>
      <c r="T1048" s="17">
        <f t="shared" si="50"/>
        <v>106.79999999999998</v>
      </c>
    </row>
    <row r="1049" spans="1:20" x14ac:dyDescent="0.35">
      <c r="A1049" s="14" t="s">
        <v>103</v>
      </c>
      <c r="B1049" s="15" t="s">
        <v>104</v>
      </c>
      <c r="C1049" s="15" t="s">
        <v>64</v>
      </c>
      <c r="D1049" s="15" t="s">
        <v>65</v>
      </c>
      <c r="E1049" s="15" t="s">
        <v>91</v>
      </c>
      <c r="F1049" s="15" t="s">
        <v>83</v>
      </c>
      <c r="G1049" s="15" t="s">
        <v>84</v>
      </c>
      <c r="H1049" s="15" t="s">
        <v>72</v>
      </c>
      <c r="I1049" s="16">
        <v>34143</v>
      </c>
      <c r="J1049" s="16">
        <v>27516</v>
      </c>
      <c r="K1049" s="16">
        <v>33872</v>
      </c>
      <c r="L1049" s="17">
        <v>1287.5999999999999</v>
      </c>
      <c r="M1049" s="17">
        <v>64.7</v>
      </c>
      <c r="N1049" s="17">
        <f t="shared" si="48"/>
        <v>1222.8999999999999</v>
      </c>
      <c r="O1049" s="17">
        <v>936.8</v>
      </c>
      <c r="P1049" s="17">
        <v>1191.3</v>
      </c>
      <c r="Q1049" s="17">
        <v>698.4</v>
      </c>
      <c r="R1049" s="17">
        <f t="shared" si="49"/>
        <v>524.49999999999989</v>
      </c>
      <c r="S1049" s="17">
        <v>540.6</v>
      </c>
      <c r="T1049" s="17">
        <f t="shared" si="50"/>
        <v>396.19999999999993</v>
      </c>
    </row>
    <row r="1050" spans="1:20" x14ac:dyDescent="0.35">
      <c r="A1050" s="14" t="s">
        <v>103</v>
      </c>
      <c r="B1050" s="15" t="s">
        <v>104</v>
      </c>
      <c r="C1050" s="15" t="s">
        <v>64</v>
      </c>
      <c r="D1050" s="15" t="s">
        <v>65</v>
      </c>
      <c r="E1050" s="15" t="s">
        <v>91</v>
      </c>
      <c r="F1050" s="15" t="s">
        <v>85</v>
      </c>
      <c r="G1050" s="15" t="s">
        <v>86</v>
      </c>
      <c r="H1050" s="15" t="s">
        <v>72</v>
      </c>
      <c r="I1050" s="16">
        <v>27268</v>
      </c>
      <c r="J1050" s="16">
        <v>24643</v>
      </c>
      <c r="K1050" s="16">
        <v>27008</v>
      </c>
      <c r="L1050" s="17">
        <v>649</v>
      </c>
      <c r="M1050" s="17">
        <v>36.299999999999997</v>
      </c>
      <c r="N1050" s="17">
        <f t="shared" si="48"/>
        <v>612.70000000000005</v>
      </c>
      <c r="O1050" s="17">
        <v>522.9</v>
      </c>
      <c r="P1050" s="17">
        <v>596.6</v>
      </c>
      <c r="Q1050" s="17">
        <v>405.3</v>
      </c>
      <c r="R1050" s="17">
        <f t="shared" si="49"/>
        <v>207.40000000000003</v>
      </c>
      <c r="S1050" s="17">
        <v>349.4</v>
      </c>
      <c r="T1050" s="17">
        <f t="shared" si="50"/>
        <v>173.5</v>
      </c>
    </row>
    <row r="1051" spans="1:20" x14ac:dyDescent="0.35">
      <c r="A1051" s="14" t="s">
        <v>103</v>
      </c>
      <c r="B1051" s="15" t="s">
        <v>104</v>
      </c>
      <c r="C1051" s="15" t="s">
        <v>64</v>
      </c>
      <c r="D1051" s="15" t="s">
        <v>65</v>
      </c>
      <c r="E1051" s="15" t="s">
        <v>91</v>
      </c>
      <c r="F1051" s="15" t="s">
        <v>87</v>
      </c>
      <c r="G1051" s="15" t="s">
        <v>88</v>
      </c>
      <c r="H1051" s="15" t="s">
        <v>72</v>
      </c>
      <c r="I1051" s="16">
        <v>10356</v>
      </c>
      <c r="J1051" s="16">
        <v>8506</v>
      </c>
      <c r="K1051" s="16">
        <v>10212</v>
      </c>
      <c r="L1051" s="17">
        <v>331</v>
      </c>
      <c r="M1051" s="17">
        <v>13.3</v>
      </c>
      <c r="N1051" s="17">
        <f t="shared" si="48"/>
        <v>317.7</v>
      </c>
      <c r="O1051" s="17">
        <v>249.2</v>
      </c>
      <c r="P1051" s="17">
        <v>312.3</v>
      </c>
      <c r="Q1051" s="17">
        <v>196.1</v>
      </c>
      <c r="R1051" s="17">
        <f t="shared" si="49"/>
        <v>121.6</v>
      </c>
      <c r="S1051" s="17">
        <v>156.30000000000001</v>
      </c>
      <c r="T1051" s="17">
        <f t="shared" si="50"/>
        <v>92.899999999999977</v>
      </c>
    </row>
    <row r="1052" spans="1:20" x14ac:dyDescent="0.35">
      <c r="A1052" s="14" t="s">
        <v>103</v>
      </c>
      <c r="B1052" s="15" t="s">
        <v>104</v>
      </c>
      <c r="C1052" s="15" t="s">
        <v>64</v>
      </c>
      <c r="D1052" s="15" t="s">
        <v>65</v>
      </c>
      <c r="E1052" s="15" t="s">
        <v>92</v>
      </c>
      <c r="F1052" s="15" t="s">
        <v>67</v>
      </c>
      <c r="G1052" s="15" t="s">
        <v>68</v>
      </c>
      <c r="H1052" s="15" t="s">
        <v>69</v>
      </c>
      <c r="I1052" s="16">
        <v>391383</v>
      </c>
      <c r="J1052" s="16">
        <v>310328</v>
      </c>
      <c r="K1052" s="16">
        <v>385138</v>
      </c>
      <c r="L1052" s="17">
        <v>2248.4</v>
      </c>
      <c r="M1052" s="17">
        <v>185.3</v>
      </c>
      <c r="N1052" s="17">
        <f t="shared" si="48"/>
        <v>2063.1</v>
      </c>
      <c r="O1052" s="17">
        <v>1559.3</v>
      </c>
      <c r="P1052" s="17">
        <v>2024.5</v>
      </c>
      <c r="Q1052" s="17">
        <v>1136.8</v>
      </c>
      <c r="R1052" s="17">
        <f t="shared" si="49"/>
        <v>926.3</v>
      </c>
      <c r="S1052" s="17">
        <v>869.1</v>
      </c>
      <c r="T1052" s="17">
        <f t="shared" si="50"/>
        <v>690.19999999999993</v>
      </c>
    </row>
    <row r="1053" spans="1:20" x14ac:dyDescent="0.35">
      <c r="A1053" s="14" t="s">
        <v>103</v>
      </c>
      <c r="B1053" s="15" t="s">
        <v>104</v>
      </c>
      <c r="C1053" s="15" t="s">
        <v>64</v>
      </c>
      <c r="D1053" s="15" t="s">
        <v>65</v>
      </c>
      <c r="E1053" s="15" t="s">
        <v>92</v>
      </c>
      <c r="F1053" s="15" t="s">
        <v>67</v>
      </c>
      <c r="G1053" s="15" t="s">
        <v>68</v>
      </c>
      <c r="H1053" s="15" t="s">
        <v>70</v>
      </c>
      <c r="I1053" s="16">
        <v>539263</v>
      </c>
      <c r="J1053" s="16">
        <v>421335</v>
      </c>
      <c r="K1053" s="16">
        <v>530186</v>
      </c>
      <c r="L1053" s="17">
        <v>3699.2</v>
      </c>
      <c r="M1053" s="17">
        <v>295.60000000000002</v>
      </c>
      <c r="N1053" s="17">
        <f t="shared" si="48"/>
        <v>3403.6</v>
      </c>
      <c r="O1053" s="17">
        <v>2543</v>
      </c>
      <c r="P1053" s="17">
        <v>3321.9</v>
      </c>
      <c r="Q1053" s="17">
        <v>1921.4</v>
      </c>
      <c r="R1053" s="17">
        <f t="shared" si="49"/>
        <v>1482.1999999999998</v>
      </c>
      <c r="S1053" s="17">
        <v>1467.9</v>
      </c>
      <c r="T1053" s="17">
        <f t="shared" si="50"/>
        <v>1075.0999999999999</v>
      </c>
    </row>
    <row r="1054" spans="1:20" x14ac:dyDescent="0.35">
      <c r="A1054" s="14" t="s">
        <v>103</v>
      </c>
      <c r="B1054" s="15" t="s">
        <v>104</v>
      </c>
      <c r="C1054" s="15" t="s">
        <v>64</v>
      </c>
      <c r="D1054" s="15" t="s">
        <v>65</v>
      </c>
      <c r="E1054" s="15" t="s">
        <v>92</v>
      </c>
      <c r="F1054" s="15" t="s">
        <v>67</v>
      </c>
      <c r="G1054" s="15" t="s">
        <v>68</v>
      </c>
      <c r="H1054" s="15" t="s">
        <v>71</v>
      </c>
      <c r="I1054" s="16">
        <v>618696</v>
      </c>
      <c r="J1054" s="16">
        <v>487533</v>
      </c>
      <c r="K1054" s="16">
        <v>608844</v>
      </c>
      <c r="L1054" s="17">
        <v>5573.6</v>
      </c>
      <c r="M1054" s="17">
        <v>495.6</v>
      </c>
      <c r="N1054" s="17">
        <f t="shared" si="48"/>
        <v>5078</v>
      </c>
      <c r="O1054" s="17">
        <v>3830.9</v>
      </c>
      <c r="P1054" s="17">
        <v>4968.3999999999996</v>
      </c>
      <c r="Q1054" s="17">
        <v>3212.5</v>
      </c>
      <c r="R1054" s="17">
        <f t="shared" si="49"/>
        <v>1865.5</v>
      </c>
      <c r="S1054" s="17">
        <v>2447.5</v>
      </c>
      <c r="T1054" s="17">
        <f t="shared" si="50"/>
        <v>1383.4</v>
      </c>
    </row>
    <row r="1055" spans="1:20" x14ac:dyDescent="0.35">
      <c r="A1055" s="14" t="s">
        <v>103</v>
      </c>
      <c r="B1055" s="15" t="s">
        <v>104</v>
      </c>
      <c r="C1055" s="15" t="s">
        <v>64</v>
      </c>
      <c r="D1055" s="15" t="s">
        <v>65</v>
      </c>
      <c r="E1055" s="15" t="s">
        <v>92</v>
      </c>
      <c r="F1055" s="15" t="s">
        <v>67</v>
      </c>
      <c r="G1055" s="15" t="s">
        <v>68</v>
      </c>
      <c r="H1055" s="15" t="s">
        <v>72</v>
      </c>
      <c r="I1055" s="16">
        <v>139931</v>
      </c>
      <c r="J1055" s="16">
        <v>109969</v>
      </c>
      <c r="K1055" s="16">
        <v>138820</v>
      </c>
      <c r="L1055" s="17">
        <v>1582.1</v>
      </c>
      <c r="M1055" s="17">
        <v>116</v>
      </c>
      <c r="N1055" s="17">
        <f t="shared" si="48"/>
        <v>1466.1</v>
      </c>
      <c r="O1055" s="17">
        <v>1098.4000000000001</v>
      </c>
      <c r="P1055" s="17">
        <v>1424.1</v>
      </c>
      <c r="Q1055" s="17">
        <v>924.1</v>
      </c>
      <c r="R1055" s="17">
        <f t="shared" si="49"/>
        <v>541.99999999999989</v>
      </c>
      <c r="S1055" s="17">
        <v>707.1</v>
      </c>
      <c r="T1055" s="17">
        <f t="shared" si="50"/>
        <v>391.30000000000007</v>
      </c>
    </row>
    <row r="1056" spans="1:20" x14ac:dyDescent="0.35">
      <c r="A1056" s="14" t="s">
        <v>103</v>
      </c>
      <c r="B1056" s="15" t="s">
        <v>104</v>
      </c>
      <c r="C1056" s="15" t="s">
        <v>64</v>
      </c>
      <c r="D1056" s="15" t="s">
        <v>65</v>
      </c>
      <c r="E1056" s="15" t="s">
        <v>92</v>
      </c>
      <c r="F1056" s="15" t="s">
        <v>67</v>
      </c>
      <c r="G1056" s="15" t="s">
        <v>73</v>
      </c>
      <c r="H1056" s="15" t="s">
        <v>71</v>
      </c>
      <c r="I1056" s="16">
        <v>142065</v>
      </c>
      <c r="J1056" s="16">
        <v>103500</v>
      </c>
      <c r="K1056" s="16">
        <v>140208</v>
      </c>
      <c r="L1056" s="17">
        <v>1238.4000000000001</v>
      </c>
      <c r="M1056" s="17">
        <v>97.6</v>
      </c>
      <c r="N1056" s="17">
        <f t="shared" si="48"/>
        <v>1140.8000000000002</v>
      </c>
      <c r="O1056" s="17">
        <v>789</v>
      </c>
      <c r="P1056" s="17">
        <v>1117.3</v>
      </c>
      <c r="Q1056" s="17">
        <v>721.5</v>
      </c>
      <c r="R1056" s="17">
        <f t="shared" si="49"/>
        <v>419.30000000000018</v>
      </c>
      <c r="S1056" s="17">
        <v>506</v>
      </c>
      <c r="T1056" s="17">
        <f t="shared" si="50"/>
        <v>283</v>
      </c>
    </row>
    <row r="1057" spans="1:20" x14ac:dyDescent="0.35">
      <c r="A1057" s="14" t="s">
        <v>103</v>
      </c>
      <c r="B1057" s="15" t="s">
        <v>104</v>
      </c>
      <c r="C1057" s="15" t="s">
        <v>64</v>
      </c>
      <c r="D1057" s="15" t="s">
        <v>65</v>
      </c>
      <c r="E1057" s="15" t="s">
        <v>92</v>
      </c>
      <c r="F1057" s="15" t="s">
        <v>67</v>
      </c>
      <c r="G1057" s="15" t="s">
        <v>73</v>
      </c>
      <c r="H1057" s="15" t="s">
        <v>72</v>
      </c>
      <c r="I1057" s="16">
        <v>45775</v>
      </c>
      <c r="J1057" s="16">
        <v>33071</v>
      </c>
      <c r="K1057" s="16">
        <v>44956</v>
      </c>
      <c r="L1057" s="17">
        <v>535.4</v>
      </c>
      <c r="M1057" s="17">
        <v>47.4</v>
      </c>
      <c r="N1057" s="17">
        <f t="shared" si="48"/>
        <v>488</v>
      </c>
      <c r="O1057" s="17">
        <v>335.2</v>
      </c>
      <c r="P1057" s="17">
        <v>479.8</v>
      </c>
      <c r="Q1057" s="17">
        <v>306.89999999999998</v>
      </c>
      <c r="R1057" s="17">
        <f t="shared" si="49"/>
        <v>181.10000000000002</v>
      </c>
      <c r="S1057" s="17">
        <v>212.4</v>
      </c>
      <c r="T1057" s="17">
        <f t="shared" si="50"/>
        <v>122.79999999999998</v>
      </c>
    </row>
    <row r="1058" spans="1:20" x14ac:dyDescent="0.35">
      <c r="A1058" s="14" t="s">
        <v>103</v>
      </c>
      <c r="B1058" s="15" t="s">
        <v>104</v>
      </c>
      <c r="C1058" s="15" t="s">
        <v>64</v>
      </c>
      <c r="D1058" s="15" t="s">
        <v>65</v>
      </c>
      <c r="E1058" s="15" t="s">
        <v>92</v>
      </c>
      <c r="F1058" s="15" t="s">
        <v>67</v>
      </c>
      <c r="G1058" s="15" t="s">
        <v>74</v>
      </c>
      <c r="H1058" s="15" t="s">
        <v>70</v>
      </c>
      <c r="I1058" s="16">
        <v>225800</v>
      </c>
      <c r="J1058" s="16">
        <v>175561</v>
      </c>
      <c r="K1058" s="16">
        <v>221633</v>
      </c>
      <c r="L1058" s="17">
        <v>1460.2</v>
      </c>
      <c r="M1058" s="17">
        <v>107.6</v>
      </c>
      <c r="N1058" s="17">
        <f t="shared" si="48"/>
        <v>1352.6000000000001</v>
      </c>
      <c r="O1058" s="17">
        <v>993.2</v>
      </c>
      <c r="P1058" s="17">
        <v>1318.6</v>
      </c>
      <c r="Q1058" s="17">
        <v>772.9</v>
      </c>
      <c r="R1058" s="17">
        <f t="shared" si="49"/>
        <v>579.70000000000016</v>
      </c>
      <c r="S1058" s="17">
        <v>572.20000000000005</v>
      </c>
      <c r="T1058" s="17">
        <f t="shared" si="50"/>
        <v>421</v>
      </c>
    </row>
    <row r="1059" spans="1:20" x14ac:dyDescent="0.35">
      <c r="A1059" s="14" t="s">
        <v>103</v>
      </c>
      <c r="B1059" s="15" t="s">
        <v>104</v>
      </c>
      <c r="C1059" s="15" t="s">
        <v>64</v>
      </c>
      <c r="D1059" s="15" t="s">
        <v>65</v>
      </c>
      <c r="E1059" s="15" t="s">
        <v>92</v>
      </c>
      <c r="F1059" s="15" t="s">
        <v>67</v>
      </c>
      <c r="G1059" s="15" t="s">
        <v>74</v>
      </c>
      <c r="H1059" s="15" t="s">
        <v>71</v>
      </c>
      <c r="I1059" s="16">
        <v>248762</v>
      </c>
      <c r="J1059" s="16">
        <v>194668</v>
      </c>
      <c r="K1059" s="16">
        <v>246408</v>
      </c>
      <c r="L1059" s="17">
        <v>2092</v>
      </c>
      <c r="M1059" s="17">
        <v>147.1</v>
      </c>
      <c r="N1059" s="17">
        <f t="shared" si="48"/>
        <v>1944.9</v>
      </c>
      <c r="O1059" s="17">
        <v>1438.2</v>
      </c>
      <c r="P1059" s="17">
        <v>1908.9</v>
      </c>
      <c r="Q1059" s="17">
        <v>1192.5999999999999</v>
      </c>
      <c r="R1059" s="17">
        <f t="shared" si="49"/>
        <v>752.30000000000018</v>
      </c>
      <c r="S1059" s="17">
        <v>903</v>
      </c>
      <c r="T1059" s="17">
        <f t="shared" si="50"/>
        <v>535.20000000000005</v>
      </c>
    </row>
    <row r="1060" spans="1:20" x14ac:dyDescent="0.35">
      <c r="A1060" s="14" t="s">
        <v>103</v>
      </c>
      <c r="B1060" s="15" t="s">
        <v>104</v>
      </c>
      <c r="C1060" s="15" t="s">
        <v>64</v>
      </c>
      <c r="D1060" s="15" t="s">
        <v>65</v>
      </c>
      <c r="E1060" s="15" t="s">
        <v>92</v>
      </c>
      <c r="F1060" s="15" t="s">
        <v>67</v>
      </c>
      <c r="G1060" s="15" t="s">
        <v>75</v>
      </c>
      <c r="H1060" s="15" t="s">
        <v>71</v>
      </c>
      <c r="I1060" s="16">
        <v>196480</v>
      </c>
      <c r="J1060" s="16">
        <v>152525</v>
      </c>
      <c r="K1060" s="16">
        <v>193506</v>
      </c>
      <c r="L1060" s="17">
        <v>1594.1</v>
      </c>
      <c r="M1060" s="17">
        <v>119.3</v>
      </c>
      <c r="N1060" s="17">
        <f t="shared" si="48"/>
        <v>1474.8</v>
      </c>
      <c r="O1060" s="17">
        <v>1090.5999999999999</v>
      </c>
      <c r="P1060" s="17">
        <v>1441</v>
      </c>
      <c r="Q1060" s="17">
        <v>905.2</v>
      </c>
      <c r="R1060" s="17">
        <f t="shared" si="49"/>
        <v>569.59999999999991</v>
      </c>
      <c r="S1060" s="17">
        <v>685.4</v>
      </c>
      <c r="T1060" s="17">
        <f t="shared" si="50"/>
        <v>405.19999999999993</v>
      </c>
    </row>
    <row r="1061" spans="1:20" x14ac:dyDescent="0.35">
      <c r="A1061" s="14" t="s">
        <v>103</v>
      </c>
      <c r="B1061" s="15" t="s">
        <v>104</v>
      </c>
      <c r="C1061" s="15" t="s">
        <v>64</v>
      </c>
      <c r="D1061" s="15" t="s">
        <v>65</v>
      </c>
      <c r="E1061" s="15" t="s">
        <v>92</v>
      </c>
      <c r="F1061" s="15" t="s">
        <v>67</v>
      </c>
      <c r="G1061" s="15" t="s">
        <v>76</v>
      </c>
      <c r="H1061" s="15" t="s">
        <v>72</v>
      </c>
      <c r="I1061" s="16">
        <v>38014</v>
      </c>
      <c r="J1061" s="16">
        <v>29201</v>
      </c>
      <c r="K1061" s="16">
        <v>37392</v>
      </c>
      <c r="L1061" s="17">
        <v>533</v>
      </c>
      <c r="M1061" s="17">
        <v>44</v>
      </c>
      <c r="N1061" s="17">
        <f t="shared" si="48"/>
        <v>489</v>
      </c>
      <c r="O1061" s="17">
        <v>356.9</v>
      </c>
      <c r="P1061" s="17">
        <v>474.9</v>
      </c>
      <c r="Q1061" s="17">
        <v>303.89999999999998</v>
      </c>
      <c r="R1061" s="17">
        <f t="shared" si="49"/>
        <v>185.10000000000002</v>
      </c>
      <c r="S1061" s="17">
        <v>226</v>
      </c>
      <c r="T1061" s="17">
        <f t="shared" si="50"/>
        <v>130.89999999999998</v>
      </c>
    </row>
    <row r="1062" spans="1:20" x14ac:dyDescent="0.35">
      <c r="A1062" s="14" t="s">
        <v>103</v>
      </c>
      <c r="B1062" s="15" t="s">
        <v>104</v>
      </c>
      <c r="C1062" s="15" t="s">
        <v>64</v>
      </c>
      <c r="D1062" s="15" t="s">
        <v>65</v>
      </c>
      <c r="E1062" s="15" t="s">
        <v>92</v>
      </c>
      <c r="F1062" s="15" t="s">
        <v>67</v>
      </c>
      <c r="G1062" s="15" t="s">
        <v>77</v>
      </c>
      <c r="H1062" s="15" t="s">
        <v>71</v>
      </c>
      <c r="I1062" s="16">
        <v>90560</v>
      </c>
      <c r="J1062" s="16">
        <v>71627</v>
      </c>
      <c r="K1062" s="16">
        <v>89841</v>
      </c>
      <c r="L1062" s="17">
        <v>779</v>
      </c>
      <c r="M1062" s="17">
        <v>63.2</v>
      </c>
      <c r="N1062" s="17">
        <f t="shared" si="48"/>
        <v>715.8</v>
      </c>
      <c r="O1062" s="17">
        <v>541.9</v>
      </c>
      <c r="P1062" s="17">
        <v>695.5</v>
      </c>
      <c r="Q1062" s="17">
        <v>453.3</v>
      </c>
      <c r="R1062" s="17">
        <f t="shared" si="49"/>
        <v>262.49999999999994</v>
      </c>
      <c r="S1062" s="17">
        <v>348.4</v>
      </c>
      <c r="T1062" s="17">
        <f t="shared" si="50"/>
        <v>193.5</v>
      </c>
    </row>
    <row r="1063" spans="1:20" x14ac:dyDescent="0.35">
      <c r="A1063" s="14" t="s">
        <v>103</v>
      </c>
      <c r="B1063" s="15" t="s">
        <v>104</v>
      </c>
      <c r="C1063" s="15" t="s">
        <v>64</v>
      </c>
      <c r="D1063" s="15" t="s">
        <v>65</v>
      </c>
      <c r="E1063" s="15" t="s">
        <v>92</v>
      </c>
      <c r="F1063" s="15" t="s">
        <v>67</v>
      </c>
      <c r="G1063" s="15" t="s">
        <v>78</v>
      </c>
      <c r="H1063" s="15" t="s">
        <v>71</v>
      </c>
      <c r="I1063" s="16">
        <v>116031</v>
      </c>
      <c r="J1063" s="16">
        <v>91366</v>
      </c>
      <c r="K1063" s="16">
        <v>114438</v>
      </c>
      <c r="L1063" s="17">
        <v>941.5</v>
      </c>
      <c r="M1063" s="17">
        <v>71.900000000000006</v>
      </c>
      <c r="N1063" s="17">
        <f t="shared" si="48"/>
        <v>869.6</v>
      </c>
      <c r="O1063" s="17">
        <v>653.20000000000005</v>
      </c>
      <c r="P1063" s="17">
        <v>851.2</v>
      </c>
      <c r="Q1063" s="17">
        <v>539.1</v>
      </c>
      <c r="R1063" s="17">
        <f t="shared" si="49"/>
        <v>330.5</v>
      </c>
      <c r="S1063" s="17">
        <v>414.6</v>
      </c>
      <c r="T1063" s="17">
        <f t="shared" si="50"/>
        <v>238.60000000000002</v>
      </c>
    </row>
    <row r="1064" spans="1:20" x14ac:dyDescent="0.35">
      <c r="A1064" s="14" t="s">
        <v>103</v>
      </c>
      <c r="B1064" s="15" t="s">
        <v>104</v>
      </c>
      <c r="C1064" s="15" t="s">
        <v>64</v>
      </c>
      <c r="D1064" s="15" t="s">
        <v>65</v>
      </c>
      <c r="E1064" s="15" t="s">
        <v>92</v>
      </c>
      <c r="F1064" s="15" t="s">
        <v>79</v>
      </c>
      <c r="G1064" s="15" t="s">
        <v>80</v>
      </c>
      <c r="H1064" s="15" t="s">
        <v>71</v>
      </c>
      <c r="I1064" s="16">
        <v>188835</v>
      </c>
      <c r="J1064" s="16">
        <v>144512</v>
      </c>
      <c r="K1064" s="16">
        <v>185999</v>
      </c>
      <c r="L1064" s="17">
        <v>998.1</v>
      </c>
      <c r="M1064" s="17">
        <v>78.099999999999994</v>
      </c>
      <c r="N1064" s="17">
        <f t="shared" si="48"/>
        <v>920</v>
      </c>
      <c r="O1064" s="17">
        <v>665.7</v>
      </c>
      <c r="P1064" s="17">
        <v>898.5</v>
      </c>
      <c r="Q1064" s="17">
        <v>546.29999999999995</v>
      </c>
      <c r="R1064" s="17">
        <f t="shared" si="49"/>
        <v>373.70000000000005</v>
      </c>
      <c r="S1064" s="17">
        <v>401.8</v>
      </c>
      <c r="T1064" s="17">
        <f t="shared" si="50"/>
        <v>263.90000000000003</v>
      </c>
    </row>
    <row r="1065" spans="1:20" x14ac:dyDescent="0.35">
      <c r="A1065" s="14" t="s">
        <v>103</v>
      </c>
      <c r="B1065" s="15" t="s">
        <v>104</v>
      </c>
      <c r="C1065" s="15" t="s">
        <v>64</v>
      </c>
      <c r="D1065" s="15" t="s">
        <v>65</v>
      </c>
      <c r="E1065" s="15" t="s">
        <v>92</v>
      </c>
      <c r="F1065" s="15" t="s">
        <v>81</v>
      </c>
      <c r="G1065" s="15" t="s">
        <v>82</v>
      </c>
      <c r="H1065" s="15" t="s">
        <v>71</v>
      </c>
      <c r="I1065" s="16">
        <v>56573</v>
      </c>
      <c r="J1065" s="16">
        <v>42662</v>
      </c>
      <c r="K1065" s="16">
        <v>55690</v>
      </c>
      <c r="L1065" s="17">
        <v>655.29999999999995</v>
      </c>
      <c r="M1065" s="17">
        <v>57.5</v>
      </c>
      <c r="N1065" s="17">
        <f t="shared" si="48"/>
        <v>597.79999999999995</v>
      </c>
      <c r="O1065" s="17">
        <v>431</v>
      </c>
      <c r="P1065" s="17">
        <v>581.29999999999995</v>
      </c>
      <c r="Q1065" s="17">
        <v>370.8</v>
      </c>
      <c r="R1065" s="17">
        <f t="shared" si="49"/>
        <v>226.99999999999994</v>
      </c>
      <c r="S1065" s="17">
        <v>269.5</v>
      </c>
      <c r="T1065" s="17">
        <f t="shared" si="50"/>
        <v>161.5</v>
      </c>
    </row>
    <row r="1066" spans="1:20" x14ac:dyDescent="0.35">
      <c r="A1066" s="14" t="s">
        <v>103</v>
      </c>
      <c r="B1066" s="15" t="s">
        <v>104</v>
      </c>
      <c r="C1066" s="15" t="s">
        <v>64</v>
      </c>
      <c r="D1066" s="15" t="s">
        <v>65</v>
      </c>
      <c r="E1066" s="15" t="s">
        <v>92</v>
      </c>
      <c r="F1066" s="15" t="s">
        <v>83</v>
      </c>
      <c r="G1066" s="15" t="s">
        <v>84</v>
      </c>
      <c r="H1066" s="15" t="s">
        <v>72</v>
      </c>
      <c r="I1066" s="16">
        <v>31601</v>
      </c>
      <c r="J1066" s="16">
        <v>22016</v>
      </c>
      <c r="K1066" s="16">
        <v>31091</v>
      </c>
      <c r="L1066" s="17">
        <v>1136.2</v>
      </c>
      <c r="M1066" s="17">
        <v>95.8</v>
      </c>
      <c r="N1066" s="17">
        <f t="shared" si="48"/>
        <v>1040.4000000000001</v>
      </c>
      <c r="O1066" s="17">
        <v>688.7</v>
      </c>
      <c r="P1066" s="17">
        <v>1014.1</v>
      </c>
      <c r="Q1066" s="17">
        <v>598.4</v>
      </c>
      <c r="R1066" s="17">
        <f t="shared" si="49"/>
        <v>442.00000000000011</v>
      </c>
      <c r="S1066" s="17">
        <v>402.5</v>
      </c>
      <c r="T1066" s="17">
        <f t="shared" si="50"/>
        <v>286.20000000000005</v>
      </c>
    </row>
    <row r="1067" spans="1:20" x14ac:dyDescent="0.35">
      <c r="A1067" s="14" t="s">
        <v>103</v>
      </c>
      <c r="B1067" s="15" t="s">
        <v>104</v>
      </c>
      <c r="C1067" s="15" t="s">
        <v>64</v>
      </c>
      <c r="D1067" s="15" t="s">
        <v>65</v>
      </c>
      <c r="E1067" s="15" t="s">
        <v>92</v>
      </c>
      <c r="F1067" s="15" t="s">
        <v>85</v>
      </c>
      <c r="G1067" s="15" t="s">
        <v>86</v>
      </c>
      <c r="H1067" s="15" t="s">
        <v>72</v>
      </c>
      <c r="I1067" s="16">
        <v>23622</v>
      </c>
      <c r="J1067" s="16">
        <v>17955</v>
      </c>
      <c r="K1067" s="16">
        <v>23373</v>
      </c>
      <c r="L1067" s="17">
        <v>492.7</v>
      </c>
      <c r="M1067" s="17">
        <v>38.9</v>
      </c>
      <c r="N1067" s="17">
        <f t="shared" si="48"/>
        <v>453.8</v>
      </c>
      <c r="O1067" s="17">
        <v>328.6</v>
      </c>
      <c r="P1067" s="17">
        <v>445.3</v>
      </c>
      <c r="Q1067" s="17">
        <v>302.3</v>
      </c>
      <c r="R1067" s="17">
        <f t="shared" si="49"/>
        <v>151.5</v>
      </c>
      <c r="S1067" s="17">
        <v>223.6</v>
      </c>
      <c r="T1067" s="17">
        <f t="shared" si="50"/>
        <v>105.00000000000003</v>
      </c>
    </row>
    <row r="1068" spans="1:20" x14ac:dyDescent="0.35">
      <c r="A1068" s="14" t="s">
        <v>103</v>
      </c>
      <c r="B1068" s="15" t="s">
        <v>104</v>
      </c>
      <c r="C1068" s="15" t="s">
        <v>64</v>
      </c>
      <c r="D1068" s="15" t="s">
        <v>65</v>
      </c>
      <c r="E1068" s="15" t="s">
        <v>92</v>
      </c>
      <c r="F1068" s="15" t="s">
        <v>87</v>
      </c>
      <c r="G1068" s="15" t="s">
        <v>88</v>
      </c>
      <c r="H1068" s="15" t="s">
        <v>72</v>
      </c>
      <c r="I1068" s="16">
        <v>10122</v>
      </c>
      <c r="J1068" s="16">
        <v>7235</v>
      </c>
      <c r="K1068" s="16">
        <v>9989</v>
      </c>
      <c r="L1068" s="17">
        <v>295.39999999999998</v>
      </c>
      <c r="M1068" s="17">
        <v>23.4</v>
      </c>
      <c r="N1068" s="17">
        <f t="shared" si="48"/>
        <v>272</v>
      </c>
      <c r="O1068" s="17">
        <v>183.7</v>
      </c>
      <c r="P1068" s="17">
        <v>263.89999999999998</v>
      </c>
      <c r="Q1068" s="17">
        <v>166</v>
      </c>
      <c r="R1068" s="17">
        <f t="shared" si="49"/>
        <v>106</v>
      </c>
      <c r="S1068" s="17">
        <v>114.5</v>
      </c>
      <c r="T1068" s="17">
        <f t="shared" si="50"/>
        <v>69.199999999999989</v>
      </c>
    </row>
    <row r="1069" spans="1:20" x14ac:dyDescent="0.35">
      <c r="A1069" s="14" t="s">
        <v>103</v>
      </c>
      <c r="B1069" s="15" t="s">
        <v>104</v>
      </c>
      <c r="C1069" s="15" t="s">
        <v>93</v>
      </c>
      <c r="D1069" s="15" t="s">
        <v>94</v>
      </c>
      <c r="E1069" s="15" t="s">
        <v>66</v>
      </c>
      <c r="F1069" s="15" t="s">
        <v>67</v>
      </c>
      <c r="G1069" s="15" t="s">
        <v>68</v>
      </c>
      <c r="H1069" s="15" t="s">
        <v>69</v>
      </c>
      <c r="I1069" s="16">
        <v>152895</v>
      </c>
      <c r="J1069" s="16">
        <v>138199</v>
      </c>
      <c r="K1069" s="16">
        <v>148242</v>
      </c>
      <c r="L1069" s="17">
        <v>818.1</v>
      </c>
      <c r="M1069" s="17">
        <v>113.9</v>
      </c>
      <c r="N1069" s="17">
        <f t="shared" si="48"/>
        <v>704.2</v>
      </c>
      <c r="O1069" s="17">
        <v>607.6</v>
      </c>
      <c r="P1069" s="17">
        <v>683.4</v>
      </c>
      <c r="Q1069" s="17">
        <v>385.2</v>
      </c>
      <c r="R1069" s="17">
        <f t="shared" si="49"/>
        <v>319.00000000000006</v>
      </c>
      <c r="S1069" s="17">
        <v>335.4</v>
      </c>
      <c r="T1069" s="17">
        <f t="shared" si="50"/>
        <v>272.20000000000005</v>
      </c>
    </row>
    <row r="1070" spans="1:20" x14ac:dyDescent="0.35">
      <c r="A1070" s="14" t="s">
        <v>103</v>
      </c>
      <c r="B1070" s="15" t="s">
        <v>104</v>
      </c>
      <c r="C1070" s="15" t="s">
        <v>93</v>
      </c>
      <c r="D1070" s="15" t="s">
        <v>94</v>
      </c>
      <c r="E1070" s="15" t="s">
        <v>66</v>
      </c>
      <c r="F1070" s="15" t="s">
        <v>67</v>
      </c>
      <c r="G1070" s="15" t="s">
        <v>68</v>
      </c>
      <c r="H1070" s="15" t="s">
        <v>70</v>
      </c>
      <c r="I1070" s="16">
        <v>206198</v>
      </c>
      <c r="J1070" s="16">
        <v>184492</v>
      </c>
      <c r="K1070" s="16">
        <v>201113</v>
      </c>
      <c r="L1070" s="17">
        <v>1276.8</v>
      </c>
      <c r="M1070" s="17">
        <v>179.3</v>
      </c>
      <c r="N1070" s="17">
        <f t="shared" si="48"/>
        <v>1097.5</v>
      </c>
      <c r="O1070" s="17">
        <v>932.4</v>
      </c>
      <c r="P1070" s="17">
        <v>1065.0999999999999</v>
      </c>
      <c r="Q1070" s="17">
        <v>624.4</v>
      </c>
      <c r="R1070" s="17">
        <f t="shared" si="49"/>
        <v>473.1</v>
      </c>
      <c r="S1070" s="17">
        <v>544</v>
      </c>
      <c r="T1070" s="17">
        <f t="shared" si="50"/>
        <v>388.4</v>
      </c>
    </row>
    <row r="1071" spans="1:20" x14ac:dyDescent="0.35">
      <c r="A1071" s="14" t="s">
        <v>103</v>
      </c>
      <c r="B1071" s="15" t="s">
        <v>104</v>
      </c>
      <c r="C1071" s="15" t="s">
        <v>93</v>
      </c>
      <c r="D1071" s="15" t="s">
        <v>94</v>
      </c>
      <c r="E1071" s="15" t="s">
        <v>66</v>
      </c>
      <c r="F1071" s="15" t="s">
        <v>67</v>
      </c>
      <c r="G1071" s="15" t="s">
        <v>68</v>
      </c>
      <c r="H1071" s="15" t="s">
        <v>71</v>
      </c>
      <c r="I1071" s="16">
        <v>505517</v>
      </c>
      <c r="J1071" s="16">
        <v>454838</v>
      </c>
      <c r="K1071" s="16">
        <v>491126</v>
      </c>
      <c r="L1071" s="17">
        <v>3887.6</v>
      </c>
      <c r="M1071" s="17">
        <v>513.70000000000005</v>
      </c>
      <c r="N1071" s="17">
        <f t="shared" si="48"/>
        <v>3373.8999999999996</v>
      </c>
      <c r="O1071" s="17">
        <v>2865.7</v>
      </c>
      <c r="P1071" s="17">
        <v>3287</v>
      </c>
      <c r="Q1071" s="17">
        <v>2090.1</v>
      </c>
      <c r="R1071" s="17">
        <f t="shared" si="49"/>
        <v>1283.7999999999997</v>
      </c>
      <c r="S1071" s="17">
        <v>1801.5</v>
      </c>
      <c r="T1071" s="17">
        <f t="shared" si="50"/>
        <v>1064.1999999999998</v>
      </c>
    </row>
    <row r="1072" spans="1:20" x14ac:dyDescent="0.35">
      <c r="A1072" s="14" t="s">
        <v>103</v>
      </c>
      <c r="B1072" s="15" t="s">
        <v>104</v>
      </c>
      <c r="C1072" s="15" t="s">
        <v>93</v>
      </c>
      <c r="D1072" s="15" t="s">
        <v>94</v>
      </c>
      <c r="E1072" s="15" t="s">
        <v>66</v>
      </c>
      <c r="F1072" s="15" t="s">
        <v>67</v>
      </c>
      <c r="G1072" s="15" t="s">
        <v>68</v>
      </c>
      <c r="H1072" s="15" t="s">
        <v>72</v>
      </c>
      <c r="I1072" s="16">
        <v>187255</v>
      </c>
      <c r="J1072" s="16">
        <v>166541</v>
      </c>
      <c r="K1072" s="16">
        <v>181360</v>
      </c>
      <c r="L1072" s="17">
        <v>2033.9</v>
      </c>
      <c r="M1072" s="17">
        <v>298.39999999999998</v>
      </c>
      <c r="N1072" s="17">
        <f t="shared" si="48"/>
        <v>1735.5</v>
      </c>
      <c r="O1072" s="17">
        <v>1450.1</v>
      </c>
      <c r="P1072" s="17">
        <v>1662.4</v>
      </c>
      <c r="Q1072" s="17">
        <v>1095.2</v>
      </c>
      <c r="R1072" s="17">
        <f t="shared" si="49"/>
        <v>640.29999999999995</v>
      </c>
      <c r="S1072" s="17">
        <v>930.1</v>
      </c>
      <c r="T1072" s="17">
        <f t="shared" si="50"/>
        <v>519.99999999999989</v>
      </c>
    </row>
    <row r="1073" spans="1:20" x14ac:dyDescent="0.35">
      <c r="A1073" s="14" t="s">
        <v>103</v>
      </c>
      <c r="B1073" s="15" t="s">
        <v>104</v>
      </c>
      <c r="C1073" s="15" t="s">
        <v>93</v>
      </c>
      <c r="D1073" s="15" t="s">
        <v>94</v>
      </c>
      <c r="E1073" s="15" t="s">
        <v>66</v>
      </c>
      <c r="F1073" s="15" t="s">
        <v>67</v>
      </c>
      <c r="G1073" s="15" t="s">
        <v>73</v>
      </c>
      <c r="H1073" s="15" t="s">
        <v>71</v>
      </c>
      <c r="I1073" s="16">
        <v>121190</v>
      </c>
      <c r="J1073" s="16">
        <v>99398</v>
      </c>
      <c r="K1073" s="16">
        <v>118963</v>
      </c>
      <c r="L1073" s="17">
        <v>931.2</v>
      </c>
      <c r="M1073" s="17">
        <v>130.5</v>
      </c>
      <c r="N1073" s="17">
        <f t="shared" si="48"/>
        <v>800.7</v>
      </c>
      <c r="O1073" s="17">
        <v>619.4</v>
      </c>
      <c r="P1073" s="17">
        <v>775.3</v>
      </c>
      <c r="Q1073" s="17">
        <v>500</v>
      </c>
      <c r="R1073" s="17">
        <f t="shared" si="49"/>
        <v>300.70000000000005</v>
      </c>
      <c r="S1073" s="17">
        <v>392.7</v>
      </c>
      <c r="T1073" s="17">
        <f t="shared" si="50"/>
        <v>226.7</v>
      </c>
    </row>
    <row r="1074" spans="1:20" x14ac:dyDescent="0.35">
      <c r="A1074" s="14" t="s">
        <v>103</v>
      </c>
      <c r="B1074" s="15" t="s">
        <v>104</v>
      </c>
      <c r="C1074" s="15" t="s">
        <v>93</v>
      </c>
      <c r="D1074" s="15" t="s">
        <v>94</v>
      </c>
      <c r="E1074" s="15" t="s">
        <v>66</v>
      </c>
      <c r="F1074" s="15" t="s">
        <v>67</v>
      </c>
      <c r="G1074" s="15" t="s">
        <v>73</v>
      </c>
      <c r="H1074" s="15" t="s">
        <v>72</v>
      </c>
      <c r="I1074" s="16">
        <v>54669</v>
      </c>
      <c r="J1074" s="16">
        <v>44994</v>
      </c>
      <c r="K1074" s="16">
        <v>53586</v>
      </c>
      <c r="L1074" s="17">
        <v>582.6</v>
      </c>
      <c r="M1074" s="17">
        <v>81.400000000000006</v>
      </c>
      <c r="N1074" s="17">
        <f t="shared" si="48"/>
        <v>501.20000000000005</v>
      </c>
      <c r="O1074" s="17">
        <v>387.5</v>
      </c>
      <c r="P1074" s="17">
        <v>483.2</v>
      </c>
      <c r="Q1074" s="17">
        <v>316.39999999999998</v>
      </c>
      <c r="R1074" s="17">
        <f t="shared" si="49"/>
        <v>184.80000000000007</v>
      </c>
      <c r="S1074" s="17">
        <v>249</v>
      </c>
      <c r="T1074" s="17">
        <f t="shared" si="50"/>
        <v>138.5</v>
      </c>
    </row>
    <row r="1075" spans="1:20" x14ac:dyDescent="0.35">
      <c r="A1075" s="14" t="s">
        <v>103</v>
      </c>
      <c r="B1075" s="15" t="s">
        <v>104</v>
      </c>
      <c r="C1075" s="15" t="s">
        <v>93</v>
      </c>
      <c r="D1075" s="15" t="s">
        <v>94</v>
      </c>
      <c r="E1075" s="15" t="s">
        <v>66</v>
      </c>
      <c r="F1075" s="15" t="s">
        <v>67</v>
      </c>
      <c r="G1075" s="15" t="s">
        <v>74</v>
      </c>
      <c r="H1075" s="15" t="s">
        <v>70</v>
      </c>
      <c r="I1075" s="16">
        <v>96725</v>
      </c>
      <c r="J1075" s="16">
        <v>85013</v>
      </c>
      <c r="K1075" s="16">
        <v>94956</v>
      </c>
      <c r="L1075" s="17">
        <v>603.79999999999995</v>
      </c>
      <c r="M1075" s="17">
        <v>89.6</v>
      </c>
      <c r="N1075" s="17">
        <f t="shared" si="48"/>
        <v>514.19999999999993</v>
      </c>
      <c r="O1075" s="17">
        <v>429.4</v>
      </c>
      <c r="P1075" s="17">
        <v>501.4</v>
      </c>
      <c r="Q1075" s="17">
        <v>300.2</v>
      </c>
      <c r="R1075" s="17">
        <f t="shared" si="49"/>
        <v>213.99999999999994</v>
      </c>
      <c r="S1075" s="17">
        <v>257</v>
      </c>
      <c r="T1075" s="17">
        <f t="shared" si="50"/>
        <v>172.39999999999998</v>
      </c>
    </row>
    <row r="1076" spans="1:20" x14ac:dyDescent="0.35">
      <c r="A1076" s="14" t="s">
        <v>103</v>
      </c>
      <c r="B1076" s="15" t="s">
        <v>104</v>
      </c>
      <c r="C1076" s="15" t="s">
        <v>93</v>
      </c>
      <c r="D1076" s="15" t="s">
        <v>94</v>
      </c>
      <c r="E1076" s="15" t="s">
        <v>66</v>
      </c>
      <c r="F1076" s="15" t="s">
        <v>67</v>
      </c>
      <c r="G1076" s="15" t="s">
        <v>74</v>
      </c>
      <c r="H1076" s="15" t="s">
        <v>71</v>
      </c>
      <c r="I1076" s="16">
        <v>211765</v>
      </c>
      <c r="J1076" s="16">
        <v>190550</v>
      </c>
      <c r="K1076" s="16">
        <v>205469</v>
      </c>
      <c r="L1076" s="17">
        <v>1660.4</v>
      </c>
      <c r="M1076" s="17">
        <v>230.2</v>
      </c>
      <c r="N1076" s="17">
        <f t="shared" si="48"/>
        <v>1430.2</v>
      </c>
      <c r="O1076" s="17">
        <v>1209.7</v>
      </c>
      <c r="P1076" s="17">
        <v>1394.9</v>
      </c>
      <c r="Q1076" s="17">
        <v>892.8</v>
      </c>
      <c r="R1076" s="17">
        <f t="shared" si="49"/>
        <v>537.40000000000009</v>
      </c>
      <c r="S1076" s="17">
        <v>766.6</v>
      </c>
      <c r="T1076" s="17">
        <f t="shared" si="50"/>
        <v>443.1</v>
      </c>
    </row>
    <row r="1077" spans="1:20" x14ac:dyDescent="0.35">
      <c r="A1077" s="14" t="s">
        <v>103</v>
      </c>
      <c r="B1077" s="15" t="s">
        <v>104</v>
      </c>
      <c r="C1077" s="15" t="s">
        <v>93</v>
      </c>
      <c r="D1077" s="15" t="s">
        <v>94</v>
      </c>
      <c r="E1077" s="15" t="s">
        <v>66</v>
      </c>
      <c r="F1077" s="15" t="s">
        <v>67</v>
      </c>
      <c r="G1077" s="15" t="s">
        <v>75</v>
      </c>
      <c r="H1077" s="15" t="s">
        <v>71</v>
      </c>
      <c r="I1077" s="16">
        <v>146642</v>
      </c>
      <c r="J1077" s="16">
        <v>130156</v>
      </c>
      <c r="K1077" s="16">
        <v>144087</v>
      </c>
      <c r="L1077" s="17">
        <v>1111.0999999999999</v>
      </c>
      <c r="M1077" s="17">
        <v>153.6</v>
      </c>
      <c r="N1077" s="17">
        <f t="shared" si="48"/>
        <v>957.49999999999989</v>
      </c>
      <c r="O1077" s="17">
        <v>812.5</v>
      </c>
      <c r="P1077" s="17">
        <v>919.9</v>
      </c>
      <c r="Q1077" s="17">
        <v>581</v>
      </c>
      <c r="R1077" s="17">
        <f t="shared" si="49"/>
        <v>376.49999999999989</v>
      </c>
      <c r="S1077" s="17">
        <v>502.7</v>
      </c>
      <c r="T1077" s="17">
        <f t="shared" si="50"/>
        <v>309.8</v>
      </c>
    </row>
    <row r="1078" spans="1:20" x14ac:dyDescent="0.35">
      <c r="A1078" s="14" t="s">
        <v>103</v>
      </c>
      <c r="B1078" s="15" t="s">
        <v>104</v>
      </c>
      <c r="C1078" s="15" t="s">
        <v>93</v>
      </c>
      <c r="D1078" s="15" t="s">
        <v>94</v>
      </c>
      <c r="E1078" s="15" t="s">
        <v>66</v>
      </c>
      <c r="F1078" s="15" t="s">
        <v>67</v>
      </c>
      <c r="G1078" s="15" t="s">
        <v>76</v>
      </c>
      <c r="H1078" s="15" t="s">
        <v>72</v>
      </c>
      <c r="I1078" s="16">
        <v>44972</v>
      </c>
      <c r="J1078" s="16">
        <v>39269</v>
      </c>
      <c r="K1078" s="16">
        <v>43604</v>
      </c>
      <c r="L1078" s="17">
        <v>583.5</v>
      </c>
      <c r="M1078" s="17">
        <v>81</v>
      </c>
      <c r="N1078" s="17">
        <f t="shared" si="48"/>
        <v>502.5</v>
      </c>
      <c r="O1078" s="17">
        <v>412.4</v>
      </c>
      <c r="P1078" s="17">
        <v>485.6</v>
      </c>
      <c r="Q1078" s="17">
        <v>310.60000000000002</v>
      </c>
      <c r="R1078" s="17">
        <f t="shared" si="49"/>
        <v>191.89999999999998</v>
      </c>
      <c r="S1078" s="17">
        <v>258.60000000000002</v>
      </c>
      <c r="T1078" s="17">
        <f t="shared" si="50"/>
        <v>153.79999999999995</v>
      </c>
    </row>
    <row r="1079" spans="1:20" x14ac:dyDescent="0.35">
      <c r="A1079" s="14" t="s">
        <v>103</v>
      </c>
      <c r="B1079" s="15" t="s">
        <v>104</v>
      </c>
      <c r="C1079" s="15" t="s">
        <v>93</v>
      </c>
      <c r="D1079" s="15" t="s">
        <v>94</v>
      </c>
      <c r="E1079" s="15" t="s">
        <v>66</v>
      </c>
      <c r="F1079" s="15" t="s">
        <v>79</v>
      </c>
      <c r="G1079" s="15" t="s">
        <v>95</v>
      </c>
      <c r="H1079" s="15" t="s">
        <v>71</v>
      </c>
      <c r="I1079" s="16">
        <v>158995</v>
      </c>
      <c r="J1079" s="16">
        <v>141594</v>
      </c>
      <c r="K1079" s="16">
        <v>154656</v>
      </c>
      <c r="L1079" s="17">
        <v>754.2</v>
      </c>
      <c r="M1079" s="17">
        <v>106.8</v>
      </c>
      <c r="N1079" s="17">
        <f t="shared" si="48"/>
        <v>647.40000000000009</v>
      </c>
      <c r="O1079" s="17">
        <v>543.70000000000005</v>
      </c>
      <c r="P1079" s="17">
        <v>622.20000000000005</v>
      </c>
      <c r="Q1079" s="17">
        <v>397.6</v>
      </c>
      <c r="R1079" s="17">
        <f t="shared" si="49"/>
        <v>249.80000000000007</v>
      </c>
      <c r="S1079" s="17">
        <v>340.9</v>
      </c>
      <c r="T1079" s="17">
        <f t="shared" si="50"/>
        <v>202.80000000000007</v>
      </c>
    </row>
    <row r="1080" spans="1:20" x14ac:dyDescent="0.35">
      <c r="A1080" s="14" t="s">
        <v>103</v>
      </c>
      <c r="B1080" s="15" t="s">
        <v>104</v>
      </c>
      <c r="C1080" s="15" t="s">
        <v>93</v>
      </c>
      <c r="D1080" s="15" t="s">
        <v>94</v>
      </c>
      <c r="E1080" s="15" t="s">
        <v>66</v>
      </c>
      <c r="F1080" s="15" t="s">
        <v>81</v>
      </c>
      <c r="G1080" s="15" t="s">
        <v>82</v>
      </c>
      <c r="H1080" s="15" t="s">
        <v>71</v>
      </c>
      <c r="I1080" s="16">
        <v>48366</v>
      </c>
      <c r="J1080" s="16">
        <v>41898</v>
      </c>
      <c r="K1080" s="16">
        <v>46929</v>
      </c>
      <c r="L1080" s="17">
        <v>500.4</v>
      </c>
      <c r="M1080" s="17">
        <v>69.3</v>
      </c>
      <c r="N1080" s="17">
        <f t="shared" si="48"/>
        <v>431.09999999999997</v>
      </c>
      <c r="O1080" s="17">
        <v>352.2</v>
      </c>
      <c r="P1080" s="17">
        <v>412.8</v>
      </c>
      <c r="Q1080" s="17">
        <v>273.39999999999998</v>
      </c>
      <c r="R1080" s="17">
        <f t="shared" si="49"/>
        <v>157.69999999999999</v>
      </c>
      <c r="S1080" s="17">
        <v>225.9</v>
      </c>
      <c r="T1080" s="17">
        <f t="shared" si="50"/>
        <v>126.29999999999998</v>
      </c>
    </row>
    <row r="1081" spans="1:20" x14ac:dyDescent="0.35">
      <c r="A1081" s="14" t="s">
        <v>103</v>
      </c>
      <c r="B1081" s="15" t="s">
        <v>104</v>
      </c>
      <c r="C1081" s="15" t="s">
        <v>93</v>
      </c>
      <c r="D1081" s="15" t="s">
        <v>94</v>
      </c>
      <c r="E1081" s="15" t="s">
        <v>66</v>
      </c>
      <c r="F1081" s="15" t="s">
        <v>83</v>
      </c>
      <c r="G1081" s="15" t="s">
        <v>84</v>
      </c>
      <c r="H1081" s="15" t="s">
        <v>72</v>
      </c>
      <c r="I1081" s="16">
        <v>51040</v>
      </c>
      <c r="J1081" s="16">
        <v>39952</v>
      </c>
      <c r="K1081" s="16">
        <v>50148</v>
      </c>
      <c r="L1081" s="17">
        <v>1659.7</v>
      </c>
      <c r="M1081" s="17">
        <v>239.9</v>
      </c>
      <c r="N1081" s="17">
        <f t="shared" si="48"/>
        <v>1419.8</v>
      </c>
      <c r="O1081" s="17">
        <v>1054.0999999999999</v>
      </c>
      <c r="P1081" s="17">
        <v>1361</v>
      </c>
      <c r="Q1081" s="17">
        <v>813</v>
      </c>
      <c r="R1081" s="17">
        <f t="shared" si="49"/>
        <v>606.79999999999995</v>
      </c>
      <c r="S1081" s="17">
        <v>615.20000000000005</v>
      </c>
      <c r="T1081" s="17">
        <f t="shared" si="50"/>
        <v>438.89999999999986</v>
      </c>
    </row>
    <row r="1082" spans="1:20" x14ac:dyDescent="0.35">
      <c r="A1082" s="14" t="s">
        <v>103</v>
      </c>
      <c r="B1082" s="15" t="s">
        <v>104</v>
      </c>
      <c r="C1082" s="15" t="s">
        <v>93</v>
      </c>
      <c r="D1082" s="15" t="s">
        <v>94</v>
      </c>
      <c r="E1082" s="15" t="s">
        <v>89</v>
      </c>
      <c r="F1082" s="15" t="s">
        <v>67</v>
      </c>
      <c r="G1082" s="15" t="s">
        <v>68</v>
      </c>
      <c r="H1082" s="15" t="s">
        <v>69</v>
      </c>
      <c r="I1082" s="16">
        <v>1054264</v>
      </c>
      <c r="J1082" s="16">
        <v>986357</v>
      </c>
      <c r="K1082" s="16">
        <v>1020956</v>
      </c>
      <c r="L1082" s="17">
        <v>5478.8</v>
      </c>
      <c r="M1082" s="17">
        <v>427.8</v>
      </c>
      <c r="N1082" s="17">
        <f t="shared" si="48"/>
        <v>5051</v>
      </c>
      <c r="O1082" s="17">
        <v>4495.6000000000004</v>
      </c>
      <c r="P1082" s="17">
        <v>4855.3</v>
      </c>
      <c r="Q1082" s="17">
        <v>2808.1</v>
      </c>
      <c r="R1082" s="17">
        <f t="shared" si="49"/>
        <v>2242.9</v>
      </c>
      <c r="S1082" s="17">
        <v>2543.3000000000002</v>
      </c>
      <c r="T1082" s="17">
        <f t="shared" si="50"/>
        <v>1952.3000000000002</v>
      </c>
    </row>
    <row r="1083" spans="1:20" x14ac:dyDescent="0.35">
      <c r="A1083" s="14" t="s">
        <v>103</v>
      </c>
      <c r="B1083" s="15" t="s">
        <v>104</v>
      </c>
      <c r="C1083" s="15" t="s">
        <v>93</v>
      </c>
      <c r="D1083" s="15" t="s">
        <v>94</v>
      </c>
      <c r="E1083" s="15" t="s">
        <v>89</v>
      </c>
      <c r="F1083" s="15" t="s">
        <v>67</v>
      </c>
      <c r="G1083" s="15" t="s">
        <v>68</v>
      </c>
      <c r="H1083" s="15" t="s">
        <v>70</v>
      </c>
      <c r="I1083" s="16">
        <v>711989</v>
      </c>
      <c r="J1083" s="16">
        <v>641488</v>
      </c>
      <c r="K1083" s="16">
        <v>691603</v>
      </c>
      <c r="L1083" s="17">
        <v>4440.8999999999996</v>
      </c>
      <c r="M1083" s="17">
        <v>328.9</v>
      </c>
      <c r="N1083" s="17">
        <f t="shared" si="48"/>
        <v>4112</v>
      </c>
      <c r="O1083" s="17">
        <v>3519.2</v>
      </c>
      <c r="P1083" s="17">
        <v>3959.7</v>
      </c>
      <c r="Q1083" s="17">
        <v>2353.1999999999998</v>
      </c>
      <c r="R1083" s="17">
        <f t="shared" si="49"/>
        <v>1758.8000000000002</v>
      </c>
      <c r="S1083" s="17">
        <v>2056.9</v>
      </c>
      <c r="T1083" s="17">
        <f t="shared" si="50"/>
        <v>1462.2999999999997</v>
      </c>
    </row>
    <row r="1084" spans="1:20" x14ac:dyDescent="0.35">
      <c r="A1084" s="14" t="s">
        <v>103</v>
      </c>
      <c r="B1084" s="15" t="s">
        <v>104</v>
      </c>
      <c r="C1084" s="15" t="s">
        <v>93</v>
      </c>
      <c r="D1084" s="15" t="s">
        <v>94</v>
      </c>
      <c r="E1084" s="15" t="s">
        <v>89</v>
      </c>
      <c r="F1084" s="15" t="s">
        <v>67</v>
      </c>
      <c r="G1084" s="15" t="s">
        <v>68</v>
      </c>
      <c r="H1084" s="15" t="s">
        <v>71</v>
      </c>
      <c r="I1084" s="16">
        <v>688634</v>
      </c>
      <c r="J1084" s="16">
        <v>635423</v>
      </c>
      <c r="K1084" s="16">
        <v>676498</v>
      </c>
      <c r="L1084" s="17">
        <v>5310.1</v>
      </c>
      <c r="M1084" s="17">
        <v>321</v>
      </c>
      <c r="N1084" s="17">
        <f t="shared" si="48"/>
        <v>4989.1000000000004</v>
      </c>
      <c r="O1084" s="17">
        <v>4379.1000000000004</v>
      </c>
      <c r="P1084" s="17">
        <v>4779.5</v>
      </c>
      <c r="Q1084" s="17">
        <v>3025</v>
      </c>
      <c r="R1084" s="17">
        <f t="shared" si="49"/>
        <v>1964.1000000000004</v>
      </c>
      <c r="S1084" s="17">
        <v>2700.7</v>
      </c>
      <c r="T1084" s="17">
        <f t="shared" si="50"/>
        <v>1678.4000000000005</v>
      </c>
    </row>
    <row r="1085" spans="1:20" x14ac:dyDescent="0.35">
      <c r="A1085" s="14" t="s">
        <v>103</v>
      </c>
      <c r="B1085" s="15" t="s">
        <v>104</v>
      </c>
      <c r="C1085" s="15" t="s">
        <v>93</v>
      </c>
      <c r="D1085" s="15" t="s">
        <v>94</v>
      </c>
      <c r="E1085" s="15" t="s">
        <v>89</v>
      </c>
      <c r="F1085" s="15" t="s">
        <v>67</v>
      </c>
      <c r="G1085" s="15" t="s">
        <v>68</v>
      </c>
      <c r="H1085" s="15" t="s">
        <v>72</v>
      </c>
      <c r="I1085" s="16">
        <v>127735</v>
      </c>
      <c r="J1085" s="16">
        <v>115697</v>
      </c>
      <c r="K1085" s="16">
        <v>124072</v>
      </c>
      <c r="L1085" s="17">
        <v>1303.3</v>
      </c>
      <c r="M1085" s="17">
        <v>89.8</v>
      </c>
      <c r="N1085" s="17">
        <f t="shared" si="48"/>
        <v>1213.5</v>
      </c>
      <c r="O1085" s="17">
        <v>1037.4000000000001</v>
      </c>
      <c r="P1085" s="17">
        <v>1164.7</v>
      </c>
      <c r="Q1085" s="17">
        <v>771.5</v>
      </c>
      <c r="R1085" s="17">
        <f t="shared" si="49"/>
        <v>442</v>
      </c>
      <c r="S1085" s="17">
        <v>665.4</v>
      </c>
      <c r="T1085" s="17">
        <f t="shared" si="50"/>
        <v>372.00000000000011</v>
      </c>
    </row>
    <row r="1086" spans="1:20" x14ac:dyDescent="0.35">
      <c r="A1086" s="14" t="s">
        <v>103</v>
      </c>
      <c r="B1086" s="15" t="s">
        <v>104</v>
      </c>
      <c r="C1086" s="15" t="s">
        <v>93</v>
      </c>
      <c r="D1086" s="15" t="s">
        <v>94</v>
      </c>
      <c r="E1086" s="15" t="s">
        <v>89</v>
      </c>
      <c r="F1086" s="15" t="s">
        <v>67</v>
      </c>
      <c r="G1086" s="15" t="s">
        <v>73</v>
      </c>
      <c r="H1086" s="15" t="s">
        <v>71</v>
      </c>
      <c r="I1086" s="16">
        <v>154715</v>
      </c>
      <c r="J1086" s="16">
        <v>129398</v>
      </c>
      <c r="K1086" s="16">
        <v>152071</v>
      </c>
      <c r="L1086" s="17">
        <v>1162.0999999999999</v>
      </c>
      <c r="M1086" s="17">
        <v>76.400000000000006</v>
      </c>
      <c r="N1086" s="17">
        <f t="shared" si="48"/>
        <v>1085.6999999999998</v>
      </c>
      <c r="O1086" s="17">
        <v>865.1</v>
      </c>
      <c r="P1086" s="17">
        <v>1056.2</v>
      </c>
      <c r="Q1086" s="17">
        <v>675.5</v>
      </c>
      <c r="R1086" s="17">
        <f t="shared" si="49"/>
        <v>410.19999999999982</v>
      </c>
      <c r="S1086" s="17">
        <v>543.5</v>
      </c>
      <c r="T1086" s="17">
        <f t="shared" si="50"/>
        <v>321.60000000000002</v>
      </c>
    </row>
    <row r="1087" spans="1:20" x14ac:dyDescent="0.35">
      <c r="A1087" s="14" t="s">
        <v>103</v>
      </c>
      <c r="B1087" s="15" t="s">
        <v>104</v>
      </c>
      <c r="C1087" s="15" t="s">
        <v>93</v>
      </c>
      <c r="D1087" s="15" t="s">
        <v>94</v>
      </c>
      <c r="E1087" s="15" t="s">
        <v>89</v>
      </c>
      <c r="F1087" s="15" t="s">
        <v>67</v>
      </c>
      <c r="G1087" s="15" t="s">
        <v>73</v>
      </c>
      <c r="H1087" s="15" t="s">
        <v>72</v>
      </c>
      <c r="I1087" s="16">
        <v>41854</v>
      </c>
      <c r="J1087" s="16">
        <v>34521</v>
      </c>
      <c r="K1087" s="16">
        <v>40609</v>
      </c>
      <c r="L1087" s="17">
        <v>435.2</v>
      </c>
      <c r="M1087" s="17">
        <v>28.1</v>
      </c>
      <c r="N1087" s="17">
        <f t="shared" si="48"/>
        <v>407.09999999999997</v>
      </c>
      <c r="O1087" s="17">
        <v>317.5</v>
      </c>
      <c r="P1087" s="17">
        <v>396.6</v>
      </c>
      <c r="Q1087" s="17">
        <v>257.10000000000002</v>
      </c>
      <c r="R1087" s="17">
        <f t="shared" si="49"/>
        <v>149.99999999999994</v>
      </c>
      <c r="S1087" s="17">
        <v>204.7</v>
      </c>
      <c r="T1087" s="17">
        <f t="shared" si="50"/>
        <v>112.80000000000001</v>
      </c>
    </row>
    <row r="1088" spans="1:20" x14ac:dyDescent="0.35">
      <c r="A1088" s="14" t="s">
        <v>103</v>
      </c>
      <c r="B1088" s="15" t="s">
        <v>104</v>
      </c>
      <c r="C1088" s="15" t="s">
        <v>93</v>
      </c>
      <c r="D1088" s="15" t="s">
        <v>94</v>
      </c>
      <c r="E1088" s="15" t="s">
        <v>89</v>
      </c>
      <c r="F1088" s="15" t="s">
        <v>67</v>
      </c>
      <c r="G1088" s="15" t="s">
        <v>74</v>
      </c>
      <c r="H1088" s="15" t="s">
        <v>70</v>
      </c>
      <c r="I1088" s="16">
        <v>272663</v>
      </c>
      <c r="J1088" s="16">
        <v>241965</v>
      </c>
      <c r="K1088" s="16">
        <v>264188</v>
      </c>
      <c r="L1088" s="17">
        <v>1587.5</v>
      </c>
      <c r="M1088" s="17">
        <v>102.2</v>
      </c>
      <c r="N1088" s="17">
        <f t="shared" si="48"/>
        <v>1485.3</v>
      </c>
      <c r="O1088" s="17">
        <v>1246.7</v>
      </c>
      <c r="P1088" s="17">
        <v>1426.9</v>
      </c>
      <c r="Q1088" s="17">
        <v>843.6</v>
      </c>
      <c r="R1088" s="17">
        <f t="shared" si="49"/>
        <v>641.69999999999993</v>
      </c>
      <c r="S1088" s="17">
        <v>726.1</v>
      </c>
      <c r="T1088" s="17">
        <f t="shared" si="50"/>
        <v>520.6</v>
      </c>
    </row>
    <row r="1089" spans="1:20" x14ac:dyDescent="0.35">
      <c r="A1089" s="14" t="s">
        <v>103</v>
      </c>
      <c r="B1089" s="15" t="s">
        <v>104</v>
      </c>
      <c r="C1089" s="15" t="s">
        <v>93</v>
      </c>
      <c r="D1089" s="15" t="s">
        <v>94</v>
      </c>
      <c r="E1089" s="15" t="s">
        <v>89</v>
      </c>
      <c r="F1089" s="15" t="s">
        <v>67</v>
      </c>
      <c r="G1089" s="15" t="s">
        <v>74</v>
      </c>
      <c r="H1089" s="15" t="s">
        <v>71</v>
      </c>
      <c r="I1089" s="16">
        <v>277520</v>
      </c>
      <c r="J1089" s="16">
        <v>249607</v>
      </c>
      <c r="K1089" s="16">
        <v>270520</v>
      </c>
      <c r="L1089" s="17">
        <v>2112.4</v>
      </c>
      <c r="M1089" s="17">
        <v>152.80000000000001</v>
      </c>
      <c r="N1089" s="17">
        <f t="shared" si="48"/>
        <v>1959.6000000000001</v>
      </c>
      <c r="O1089" s="17">
        <v>1667.3</v>
      </c>
      <c r="P1089" s="17">
        <v>1887.4</v>
      </c>
      <c r="Q1089" s="17">
        <v>1198.5999999999999</v>
      </c>
      <c r="R1089" s="17">
        <f t="shared" si="49"/>
        <v>761.00000000000023</v>
      </c>
      <c r="S1089" s="17">
        <v>1026.5999999999999</v>
      </c>
      <c r="T1089" s="17">
        <f t="shared" si="50"/>
        <v>640.70000000000005</v>
      </c>
    </row>
    <row r="1090" spans="1:20" x14ac:dyDescent="0.35">
      <c r="A1090" s="14" t="s">
        <v>103</v>
      </c>
      <c r="B1090" s="15" t="s">
        <v>104</v>
      </c>
      <c r="C1090" s="15" t="s">
        <v>93</v>
      </c>
      <c r="D1090" s="15" t="s">
        <v>94</v>
      </c>
      <c r="E1090" s="15" t="s">
        <v>89</v>
      </c>
      <c r="F1090" s="15" t="s">
        <v>67</v>
      </c>
      <c r="G1090" s="15" t="s">
        <v>75</v>
      </c>
      <c r="H1090" s="15" t="s">
        <v>71</v>
      </c>
      <c r="I1090" s="16">
        <v>193185</v>
      </c>
      <c r="J1090" s="16">
        <v>177701</v>
      </c>
      <c r="K1090" s="16">
        <v>189355</v>
      </c>
      <c r="L1090" s="17">
        <v>1416.1</v>
      </c>
      <c r="M1090" s="17">
        <v>101.3</v>
      </c>
      <c r="N1090" s="17">
        <f t="shared" si="48"/>
        <v>1314.8</v>
      </c>
      <c r="O1090" s="17">
        <v>1144.2</v>
      </c>
      <c r="P1090" s="17">
        <v>1265.7</v>
      </c>
      <c r="Q1090" s="17">
        <v>823.9</v>
      </c>
      <c r="R1090" s="17">
        <f t="shared" si="49"/>
        <v>490.9</v>
      </c>
      <c r="S1090" s="17">
        <v>723.3</v>
      </c>
      <c r="T1090" s="17">
        <f t="shared" si="50"/>
        <v>420.90000000000009</v>
      </c>
    </row>
    <row r="1091" spans="1:20" x14ac:dyDescent="0.35">
      <c r="A1091" s="14" t="s">
        <v>103</v>
      </c>
      <c r="B1091" s="15" t="s">
        <v>104</v>
      </c>
      <c r="C1091" s="15" t="s">
        <v>93</v>
      </c>
      <c r="D1091" s="15" t="s">
        <v>94</v>
      </c>
      <c r="E1091" s="15" t="s">
        <v>89</v>
      </c>
      <c r="F1091" s="15" t="s">
        <v>67</v>
      </c>
      <c r="G1091" s="15" t="s">
        <v>76</v>
      </c>
      <c r="H1091" s="15" t="s">
        <v>72</v>
      </c>
      <c r="I1091" s="16">
        <v>34107</v>
      </c>
      <c r="J1091" s="16">
        <v>30504</v>
      </c>
      <c r="K1091" s="16">
        <v>33311</v>
      </c>
      <c r="L1091" s="17">
        <v>425</v>
      </c>
      <c r="M1091" s="17">
        <v>30.9</v>
      </c>
      <c r="N1091" s="17">
        <f t="shared" si="48"/>
        <v>394.1</v>
      </c>
      <c r="O1091" s="17">
        <v>332.7</v>
      </c>
      <c r="P1091" s="17">
        <v>382.7</v>
      </c>
      <c r="Q1091" s="17">
        <v>248.3</v>
      </c>
      <c r="R1091" s="17">
        <f t="shared" si="49"/>
        <v>145.80000000000001</v>
      </c>
      <c r="S1091" s="17">
        <v>214.3</v>
      </c>
      <c r="T1091" s="17">
        <f t="shared" si="50"/>
        <v>118.39999999999998</v>
      </c>
    </row>
    <row r="1092" spans="1:20" x14ac:dyDescent="0.35">
      <c r="A1092" s="14" t="s">
        <v>103</v>
      </c>
      <c r="B1092" s="15" t="s">
        <v>104</v>
      </c>
      <c r="C1092" s="15" t="s">
        <v>93</v>
      </c>
      <c r="D1092" s="15" t="s">
        <v>94</v>
      </c>
      <c r="E1092" s="15" t="s">
        <v>89</v>
      </c>
      <c r="F1092" s="15" t="s">
        <v>79</v>
      </c>
      <c r="G1092" s="15" t="s">
        <v>95</v>
      </c>
      <c r="H1092" s="15" t="s">
        <v>71</v>
      </c>
      <c r="I1092" s="16">
        <v>191169</v>
      </c>
      <c r="J1092" s="16">
        <v>169448</v>
      </c>
      <c r="K1092" s="16">
        <v>187615</v>
      </c>
      <c r="L1092" s="17">
        <v>876.4</v>
      </c>
      <c r="M1092" s="17">
        <v>64.8</v>
      </c>
      <c r="N1092" s="17">
        <f t="shared" ref="N1092:N1155" si="51">L1092-M1092</f>
        <v>811.6</v>
      </c>
      <c r="O1092" s="17">
        <v>681.3</v>
      </c>
      <c r="P1092" s="17">
        <v>791.1</v>
      </c>
      <c r="Q1092" s="17">
        <v>498.9</v>
      </c>
      <c r="R1092" s="17">
        <f t="shared" ref="R1092:R1155" si="52">N1092-Q1092</f>
        <v>312.70000000000005</v>
      </c>
      <c r="S1092" s="17">
        <v>423</v>
      </c>
      <c r="T1092" s="17">
        <f t="shared" ref="T1092:T1155" si="53">O1092-S1092</f>
        <v>258.29999999999995</v>
      </c>
    </row>
    <row r="1093" spans="1:20" x14ac:dyDescent="0.35">
      <c r="A1093" s="14" t="s">
        <v>103</v>
      </c>
      <c r="B1093" s="15" t="s">
        <v>104</v>
      </c>
      <c r="C1093" s="15" t="s">
        <v>93</v>
      </c>
      <c r="D1093" s="15" t="s">
        <v>94</v>
      </c>
      <c r="E1093" s="15" t="s">
        <v>89</v>
      </c>
      <c r="F1093" s="15" t="s">
        <v>81</v>
      </c>
      <c r="G1093" s="15" t="s">
        <v>82</v>
      </c>
      <c r="H1093" s="15" t="s">
        <v>71</v>
      </c>
      <c r="I1093" s="16">
        <v>63324</v>
      </c>
      <c r="J1093" s="16">
        <v>56247</v>
      </c>
      <c r="K1093" s="16">
        <v>61991</v>
      </c>
      <c r="L1093" s="17">
        <v>616.4</v>
      </c>
      <c r="M1093" s="17">
        <v>37.700000000000003</v>
      </c>
      <c r="N1093" s="17">
        <f t="shared" si="51"/>
        <v>578.69999999999993</v>
      </c>
      <c r="O1093" s="17">
        <v>482.7</v>
      </c>
      <c r="P1093" s="17">
        <v>560.20000000000005</v>
      </c>
      <c r="Q1093" s="17">
        <v>357.4</v>
      </c>
      <c r="R1093" s="17">
        <f t="shared" si="52"/>
        <v>221.29999999999995</v>
      </c>
      <c r="S1093" s="17">
        <v>301.2</v>
      </c>
      <c r="T1093" s="17">
        <f t="shared" si="53"/>
        <v>181.5</v>
      </c>
    </row>
    <row r="1094" spans="1:20" x14ac:dyDescent="0.35">
      <c r="A1094" s="14" t="s">
        <v>103</v>
      </c>
      <c r="B1094" s="15" t="s">
        <v>104</v>
      </c>
      <c r="C1094" s="15" t="s">
        <v>93</v>
      </c>
      <c r="D1094" s="15" t="s">
        <v>94</v>
      </c>
      <c r="E1094" s="15" t="s">
        <v>89</v>
      </c>
      <c r="F1094" s="15" t="s">
        <v>83</v>
      </c>
      <c r="G1094" s="15" t="s">
        <v>84</v>
      </c>
      <c r="H1094" s="15" t="s">
        <v>72</v>
      </c>
      <c r="I1094" s="16">
        <v>28184</v>
      </c>
      <c r="J1094" s="16">
        <v>22356</v>
      </c>
      <c r="K1094" s="16">
        <v>27409</v>
      </c>
      <c r="L1094" s="17">
        <v>899.4</v>
      </c>
      <c r="M1094" s="17">
        <v>68.5</v>
      </c>
      <c r="N1094" s="17">
        <f t="shared" si="51"/>
        <v>830.9</v>
      </c>
      <c r="O1094" s="17">
        <v>624.29999999999995</v>
      </c>
      <c r="P1094" s="17">
        <v>798.9</v>
      </c>
      <c r="Q1094" s="17">
        <v>491.4</v>
      </c>
      <c r="R1094" s="17">
        <f t="shared" si="52"/>
        <v>339.5</v>
      </c>
      <c r="S1094" s="17">
        <v>377.4</v>
      </c>
      <c r="T1094" s="17">
        <f t="shared" si="53"/>
        <v>246.89999999999998</v>
      </c>
    </row>
    <row r="1095" spans="1:20" x14ac:dyDescent="0.35">
      <c r="A1095" s="14" t="s">
        <v>103</v>
      </c>
      <c r="B1095" s="15" t="s">
        <v>104</v>
      </c>
      <c r="C1095" s="15" t="s">
        <v>93</v>
      </c>
      <c r="D1095" s="15" t="s">
        <v>94</v>
      </c>
      <c r="E1095" s="15" t="s">
        <v>90</v>
      </c>
      <c r="F1095" s="15" t="s">
        <v>67</v>
      </c>
      <c r="G1095" s="15" t="s">
        <v>68</v>
      </c>
      <c r="H1095" s="15" t="s">
        <v>69</v>
      </c>
      <c r="I1095" s="16">
        <v>327102</v>
      </c>
      <c r="J1095" s="16">
        <v>302457</v>
      </c>
      <c r="K1095" s="16">
        <v>320504</v>
      </c>
      <c r="L1095" s="17">
        <v>1560.5</v>
      </c>
      <c r="M1095" s="17">
        <v>172.1</v>
      </c>
      <c r="N1095" s="17">
        <f t="shared" si="51"/>
        <v>1388.4</v>
      </c>
      <c r="O1095" s="17">
        <v>1219.7</v>
      </c>
      <c r="P1095" s="17">
        <v>1332.4</v>
      </c>
      <c r="Q1095" s="17">
        <v>744.6</v>
      </c>
      <c r="R1095" s="17">
        <f t="shared" si="52"/>
        <v>643.80000000000007</v>
      </c>
      <c r="S1095" s="17">
        <v>663.7</v>
      </c>
      <c r="T1095" s="17">
        <f t="shared" si="53"/>
        <v>556</v>
      </c>
    </row>
    <row r="1096" spans="1:20" x14ac:dyDescent="0.35">
      <c r="A1096" s="14" t="s">
        <v>103</v>
      </c>
      <c r="B1096" s="15" t="s">
        <v>104</v>
      </c>
      <c r="C1096" s="15" t="s">
        <v>93</v>
      </c>
      <c r="D1096" s="15" t="s">
        <v>94</v>
      </c>
      <c r="E1096" s="15" t="s">
        <v>90</v>
      </c>
      <c r="F1096" s="15" t="s">
        <v>67</v>
      </c>
      <c r="G1096" s="15" t="s">
        <v>68</v>
      </c>
      <c r="H1096" s="15" t="s">
        <v>70</v>
      </c>
      <c r="I1096" s="16">
        <v>264516</v>
      </c>
      <c r="J1096" s="16">
        <v>240370</v>
      </c>
      <c r="K1096" s="16">
        <v>257795</v>
      </c>
      <c r="L1096" s="17">
        <v>1468.4</v>
      </c>
      <c r="M1096" s="17">
        <v>170.2</v>
      </c>
      <c r="N1096" s="17">
        <f t="shared" si="51"/>
        <v>1298.2</v>
      </c>
      <c r="O1096" s="17">
        <v>1128</v>
      </c>
      <c r="P1096" s="17">
        <v>1262.2</v>
      </c>
      <c r="Q1096" s="17">
        <v>743.9</v>
      </c>
      <c r="R1096" s="17">
        <f t="shared" si="52"/>
        <v>554.30000000000007</v>
      </c>
      <c r="S1096" s="17">
        <v>662.9</v>
      </c>
      <c r="T1096" s="17">
        <f t="shared" si="53"/>
        <v>465.1</v>
      </c>
    </row>
    <row r="1097" spans="1:20" x14ac:dyDescent="0.35">
      <c r="A1097" s="14" t="s">
        <v>103</v>
      </c>
      <c r="B1097" s="15" t="s">
        <v>104</v>
      </c>
      <c r="C1097" s="15" t="s">
        <v>93</v>
      </c>
      <c r="D1097" s="15" t="s">
        <v>94</v>
      </c>
      <c r="E1097" s="15" t="s">
        <v>90</v>
      </c>
      <c r="F1097" s="15" t="s">
        <v>67</v>
      </c>
      <c r="G1097" s="15" t="s">
        <v>68</v>
      </c>
      <c r="H1097" s="15" t="s">
        <v>71</v>
      </c>
      <c r="I1097" s="16">
        <v>336703</v>
      </c>
      <c r="J1097" s="16">
        <v>315173</v>
      </c>
      <c r="K1097" s="16">
        <v>329427</v>
      </c>
      <c r="L1097" s="17">
        <v>2359.5</v>
      </c>
      <c r="M1097" s="17">
        <v>275.89999999999998</v>
      </c>
      <c r="N1097" s="17">
        <f t="shared" si="51"/>
        <v>2083.6</v>
      </c>
      <c r="O1097" s="17">
        <v>1837</v>
      </c>
      <c r="P1097" s="17">
        <v>2018</v>
      </c>
      <c r="Q1097" s="17">
        <v>1279.2</v>
      </c>
      <c r="R1097" s="17">
        <f t="shared" si="52"/>
        <v>804.39999999999986</v>
      </c>
      <c r="S1097" s="17">
        <v>1154.7</v>
      </c>
      <c r="T1097" s="17">
        <f t="shared" si="53"/>
        <v>682.3</v>
      </c>
    </row>
    <row r="1098" spans="1:20" x14ac:dyDescent="0.35">
      <c r="A1098" s="14" t="s">
        <v>103</v>
      </c>
      <c r="B1098" s="15" t="s">
        <v>104</v>
      </c>
      <c r="C1098" s="15" t="s">
        <v>93</v>
      </c>
      <c r="D1098" s="15" t="s">
        <v>94</v>
      </c>
      <c r="E1098" s="15" t="s">
        <v>90</v>
      </c>
      <c r="F1098" s="15" t="s">
        <v>67</v>
      </c>
      <c r="G1098" s="15" t="s">
        <v>68</v>
      </c>
      <c r="H1098" s="15" t="s">
        <v>72</v>
      </c>
      <c r="I1098" s="16">
        <v>104778</v>
      </c>
      <c r="J1098" s="16">
        <v>96295</v>
      </c>
      <c r="K1098" s="16">
        <v>102118</v>
      </c>
      <c r="L1098" s="17">
        <v>982.3</v>
      </c>
      <c r="M1098" s="17">
        <v>116.9</v>
      </c>
      <c r="N1098" s="17">
        <f t="shared" si="51"/>
        <v>865.4</v>
      </c>
      <c r="O1098" s="17">
        <v>749.4</v>
      </c>
      <c r="P1098" s="17">
        <v>835.7</v>
      </c>
      <c r="Q1098" s="17">
        <v>552.6</v>
      </c>
      <c r="R1098" s="17">
        <f t="shared" si="52"/>
        <v>312.79999999999995</v>
      </c>
      <c r="S1098" s="17">
        <v>484.1</v>
      </c>
      <c r="T1098" s="17">
        <f t="shared" si="53"/>
        <v>265.29999999999995</v>
      </c>
    </row>
    <row r="1099" spans="1:20" x14ac:dyDescent="0.35">
      <c r="A1099" s="14" t="s">
        <v>103</v>
      </c>
      <c r="B1099" s="15" t="s">
        <v>104</v>
      </c>
      <c r="C1099" s="15" t="s">
        <v>93</v>
      </c>
      <c r="D1099" s="15" t="s">
        <v>94</v>
      </c>
      <c r="E1099" s="15" t="s">
        <v>90</v>
      </c>
      <c r="F1099" s="15" t="s">
        <v>67</v>
      </c>
      <c r="G1099" s="15" t="s">
        <v>73</v>
      </c>
      <c r="H1099" s="15" t="s">
        <v>71</v>
      </c>
      <c r="I1099" s="16">
        <v>85304</v>
      </c>
      <c r="J1099" s="16">
        <v>71698</v>
      </c>
      <c r="K1099" s="16">
        <v>83796</v>
      </c>
      <c r="L1099" s="17">
        <v>601.29999999999995</v>
      </c>
      <c r="M1099" s="17">
        <v>70.8</v>
      </c>
      <c r="N1099" s="17">
        <f t="shared" si="51"/>
        <v>530.5</v>
      </c>
      <c r="O1099" s="17">
        <v>422.2</v>
      </c>
      <c r="P1099" s="17">
        <v>511.4</v>
      </c>
      <c r="Q1099" s="17">
        <v>326.7</v>
      </c>
      <c r="R1099" s="17">
        <f t="shared" si="52"/>
        <v>203.8</v>
      </c>
      <c r="S1099" s="17">
        <v>263.10000000000002</v>
      </c>
      <c r="T1099" s="17">
        <f t="shared" si="53"/>
        <v>159.09999999999997</v>
      </c>
    </row>
    <row r="1100" spans="1:20" x14ac:dyDescent="0.35">
      <c r="A1100" s="14" t="s">
        <v>103</v>
      </c>
      <c r="B1100" s="15" t="s">
        <v>104</v>
      </c>
      <c r="C1100" s="15" t="s">
        <v>93</v>
      </c>
      <c r="D1100" s="15" t="s">
        <v>94</v>
      </c>
      <c r="E1100" s="15" t="s">
        <v>90</v>
      </c>
      <c r="F1100" s="15" t="s">
        <v>67</v>
      </c>
      <c r="G1100" s="15" t="s">
        <v>73</v>
      </c>
      <c r="H1100" s="15" t="s">
        <v>72</v>
      </c>
      <c r="I1100" s="16">
        <v>34101</v>
      </c>
      <c r="J1100" s="16">
        <v>28547</v>
      </c>
      <c r="K1100" s="16">
        <v>33078</v>
      </c>
      <c r="L1100" s="17">
        <v>319.60000000000002</v>
      </c>
      <c r="M1100" s="17">
        <v>38.299999999999997</v>
      </c>
      <c r="N1100" s="17">
        <f t="shared" si="51"/>
        <v>281.3</v>
      </c>
      <c r="O1100" s="17">
        <v>224.6</v>
      </c>
      <c r="P1100" s="17">
        <v>269.89999999999998</v>
      </c>
      <c r="Q1100" s="17">
        <v>181.7</v>
      </c>
      <c r="R1100" s="17">
        <f t="shared" si="52"/>
        <v>99.600000000000023</v>
      </c>
      <c r="S1100" s="17">
        <v>146.69999999999999</v>
      </c>
      <c r="T1100" s="17">
        <f t="shared" si="53"/>
        <v>77.900000000000006</v>
      </c>
    </row>
    <row r="1101" spans="1:20" x14ac:dyDescent="0.35">
      <c r="A1101" s="14" t="s">
        <v>103</v>
      </c>
      <c r="B1101" s="15" t="s">
        <v>104</v>
      </c>
      <c r="C1101" s="15" t="s">
        <v>93</v>
      </c>
      <c r="D1101" s="15" t="s">
        <v>94</v>
      </c>
      <c r="E1101" s="15" t="s">
        <v>90</v>
      </c>
      <c r="F1101" s="15" t="s">
        <v>67</v>
      </c>
      <c r="G1101" s="15" t="s">
        <v>74</v>
      </c>
      <c r="H1101" s="15" t="s">
        <v>70</v>
      </c>
      <c r="I1101" s="16">
        <v>119779</v>
      </c>
      <c r="J1101" s="16">
        <v>109071</v>
      </c>
      <c r="K1101" s="16">
        <v>117750</v>
      </c>
      <c r="L1101" s="17">
        <v>634.29999999999995</v>
      </c>
      <c r="M1101" s="17">
        <v>71.900000000000006</v>
      </c>
      <c r="N1101" s="17">
        <f t="shared" si="51"/>
        <v>562.4</v>
      </c>
      <c r="O1101" s="17">
        <v>486.9</v>
      </c>
      <c r="P1101" s="17">
        <v>544.9</v>
      </c>
      <c r="Q1101" s="17">
        <v>318.7</v>
      </c>
      <c r="R1101" s="17">
        <f t="shared" si="52"/>
        <v>243.7</v>
      </c>
      <c r="S1101" s="17">
        <v>281.39999999999998</v>
      </c>
      <c r="T1101" s="17">
        <f t="shared" si="53"/>
        <v>205.5</v>
      </c>
    </row>
    <row r="1102" spans="1:20" x14ac:dyDescent="0.35">
      <c r="A1102" s="14" t="s">
        <v>103</v>
      </c>
      <c r="B1102" s="15" t="s">
        <v>104</v>
      </c>
      <c r="C1102" s="15" t="s">
        <v>93</v>
      </c>
      <c r="D1102" s="15" t="s">
        <v>94</v>
      </c>
      <c r="E1102" s="15" t="s">
        <v>90</v>
      </c>
      <c r="F1102" s="15" t="s">
        <v>67</v>
      </c>
      <c r="G1102" s="15" t="s">
        <v>74</v>
      </c>
      <c r="H1102" s="15" t="s">
        <v>71</v>
      </c>
      <c r="I1102" s="16">
        <v>149294</v>
      </c>
      <c r="J1102" s="16">
        <v>138189</v>
      </c>
      <c r="K1102" s="16">
        <v>145065</v>
      </c>
      <c r="L1102" s="17">
        <v>990</v>
      </c>
      <c r="M1102" s="17">
        <v>111.2</v>
      </c>
      <c r="N1102" s="17">
        <f t="shared" si="51"/>
        <v>878.8</v>
      </c>
      <c r="O1102" s="17">
        <v>768</v>
      </c>
      <c r="P1102" s="17">
        <v>851.6</v>
      </c>
      <c r="Q1102" s="17">
        <v>543.4</v>
      </c>
      <c r="R1102" s="17">
        <f t="shared" si="52"/>
        <v>335.4</v>
      </c>
      <c r="S1102" s="17">
        <v>484</v>
      </c>
      <c r="T1102" s="17">
        <f t="shared" si="53"/>
        <v>284</v>
      </c>
    </row>
    <row r="1103" spans="1:20" x14ac:dyDescent="0.35">
      <c r="A1103" s="14" t="s">
        <v>103</v>
      </c>
      <c r="B1103" s="15" t="s">
        <v>104</v>
      </c>
      <c r="C1103" s="15" t="s">
        <v>93</v>
      </c>
      <c r="D1103" s="15" t="s">
        <v>94</v>
      </c>
      <c r="E1103" s="15" t="s">
        <v>90</v>
      </c>
      <c r="F1103" s="15" t="s">
        <v>67</v>
      </c>
      <c r="G1103" s="15" t="s">
        <v>75</v>
      </c>
      <c r="H1103" s="15" t="s">
        <v>71</v>
      </c>
      <c r="I1103" s="16">
        <v>106019</v>
      </c>
      <c r="J1103" s="16">
        <v>98098</v>
      </c>
      <c r="K1103" s="16">
        <v>103517</v>
      </c>
      <c r="L1103" s="17">
        <v>734.4</v>
      </c>
      <c r="M1103" s="17">
        <v>83.2</v>
      </c>
      <c r="N1103" s="17">
        <f t="shared" si="51"/>
        <v>651.19999999999993</v>
      </c>
      <c r="O1103" s="17">
        <v>574.1</v>
      </c>
      <c r="P1103" s="17">
        <v>632.9</v>
      </c>
      <c r="Q1103" s="17">
        <v>405.2</v>
      </c>
      <c r="R1103" s="17">
        <f t="shared" si="52"/>
        <v>245.99999999999994</v>
      </c>
      <c r="S1103" s="17">
        <v>360.2</v>
      </c>
      <c r="T1103" s="17">
        <f t="shared" si="53"/>
        <v>213.90000000000003</v>
      </c>
    </row>
    <row r="1104" spans="1:20" x14ac:dyDescent="0.35">
      <c r="A1104" s="14" t="s">
        <v>103</v>
      </c>
      <c r="B1104" s="15" t="s">
        <v>104</v>
      </c>
      <c r="C1104" s="15" t="s">
        <v>93</v>
      </c>
      <c r="D1104" s="15" t="s">
        <v>94</v>
      </c>
      <c r="E1104" s="15" t="s">
        <v>90</v>
      </c>
      <c r="F1104" s="15" t="s">
        <v>67</v>
      </c>
      <c r="G1104" s="15" t="s">
        <v>76</v>
      </c>
      <c r="H1104" s="15" t="s">
        <v>72</v>
      </c>
      <c r="I1104" s="16">
        <v>23843</v>
      </c>
      <c r="J1104" s="16">
        <v>21165</v>
      </c>
      <c r="K1104" s="16">
        <v>23384</v>
      </c>
      <c r="L1104" s="17">
        <v>271.39999999999998</v>
      </c>
      <c r="M1104" s="17">
        <v>29.8</v>
      </c>
      <c r="N1104" s="17">
        <f t="shared" si="51"/>
        <v>241.59999999999997</v>
      </c>
      <c r="O1104" s="17">
        <v>203.2</v>
      </c>
      <c r="P1104" s="17">
        <v>232.8</v>
      </c>
      <c r="Q1104" s="17">
        <v>152.19999999999999</v>
      </c>
      <c r="R1104" s="17">
        <f t="shared" si="52"/>
        <v>89.399999999999977</v>
      </c>
      <c r="S1104" s="17">
        <v>128.9</v>
      </c>
      <c r="T1104" s="17">
        <f t="shared" si="53"/>
        <v>74.299999999999983</v>
      </c>
    </row>
    <row r="1105" spans="1:20" x14ac:dyDescent="0.35">
      <c r="A1105" s="14" t="s">
        <v>103</v>
      </c>
      <c r="B1105" s="15" t="s">
        <v>104</v>
      </c>
      <c r="C1105" s="15" t="s">
        <v>93</v>
      </c>
      <c r="D1105" s="15" t="s">
        <v>94</v>
      </c>
      <c r="E1105" s="15" t="s">
        <v>90</v>
      </c>
      <c r="F1105" s="15" t="s">
        <v>79</v>
      </c>
      <c r="G1105" s="15" t="s">
        <v>95</v>
      </c>
      <c r="H1105" s="15" t="s">
        <v>71</v>
      </c>
      <c r="I1105" s="16">
        <v>110704</v>
      </c>
      <c r="J1105" s="16">
        <v>99083</v>
      </c>
      <c r="K1105" s="16">
        <v>107204</v>
      </c>
      <c r="L1105" s="17">
        <v>474.8</v>
      </c>
      <c r="M1105" s="17">
        <v>56</v>
      </c>
      <c r="N1105" s="17">
        <f t="shared" si="51"/>
        <v>418.8</v>
      </c>
      <c r="O1105" s="17">
        <v>352.8</v>
      </c>
      <c r="P1105" s="17">
        <v>403.2</v>
      </c>
      <c r="Q1105" s="17">
        <v>248.7</v>
      </c>
      <c r="R1105" s="17">
        <f t="shared" si="52"/>
        <v>170.10000000000002</v>
      </c>
      <c r="S1105" s="17">
        <v>213.6</v>
      </c>
      <c r="T1105" s="17">
        <f t="shared" si="53"/>
        <v>139.20000000000002</v>
      </c>
    </row>
    <row r="1106" spans="1:20" x14ac:dyDescent="0.35">
      <c r="A1106" s="14" t="s">
        <v>103</v>
      </c>
      <c r="B1106" s="15" t="s">
        <v>104</v>
      </c>
      <c r="C1106" s="15" t="s">
        <v>93</v>
      </c>
      <c r="D1106" s="15" t="s">
        <v>94</v>
      </c>
      <c r="E1106" s="15" t="s">
        <v>90</v>
      </c>
      <c r="F1106" s="15" t="s">
        <v>81</v>
      </c>
      <c r="G1106" s="15" t="s">
        <v>82</v>
      </c>
      <c r="H1106" s="15" t="s">
        <v>71</v>
      </c>
      <c r="I1106" s="16">
        <v>35101</v>
      </c>
      <c r="J1106" s="16">
        <v>31169</v>
      </c>
      <c r="K1106" s="16">
        <v>34326</v>
      </c>
      <c r="L1106" s="17">
        <v>321.5</v>
      </c>
      <c r="M1106" s="17">
        <v>34.299999999999997</v>
      </c>
      <c r="N1106" s="17">
        <f t="shared" si="51"/>
        <v>287.2</v>
      </c>
      <c r="O1106" s="17">
        <v>242.5</v>
      </c>
      <c r="P1106" s="17">
        <v>279.89999999999998</v>
      </c>
      <c r="Q1106" s="17">
        <v>182</v>
      </c>
      <c r="R1106" s="17">
        <f t="shared" si="52"/>
        <v>105.19999999999999</v>
      </c>
      <c r="S1106" s="17">
        <v>155.9</v>
      </c>
      <c r="T1106" s="17">
        <f t="shared" si="53"/>
        <v>86.6</v>
      </c>
    </row>
    <row r="1107" spans="1:20" x14ac:dyDescent="0.35">
      <c r="A1107" s="14" t="s">
        <v>103</v>
      </c>
      <c r="B1107" s="15" t="s">
        <v>104</v>
      </c>
      <c r="C1107" s="15" t="s">
        <v>93</v>
      </c>
      <c r="D1107" s="15" t="s">
        <v>94</v>
      </c>
      <c r="E1107" s="15" t="s">
        <v>90</v>
      </c>
      <c r="F1107" s="15" t="s">
        <v>83</v>
      </c>
      <c r="G1107" s="15" t="s">
        <v>84</v>
      </c>
      <c r="H1107" s="15" t="s">
        <v>72</v>
      </c>
      <c r="I1107" s="16">
        <v>18821</v>
      </c>
      <c r="J1107" s="16">
        <v>15094</v>
      </c>
      <c r="K1107" s="16">
        <v>18415</v>
      </c>
      <c r="L1107" s="17">
        <v>537.29999999999995</v>
      </c>
      <c r="M1107" s="17">
        <v>61.7</v>
      </c>
      <c r="N1107" s="17">
        <f t="shared" si="51"/>
        <v>475.59999999999997</v>
      </c>
      <c r="O1107" s="17">
        <v>362.5</v>
      </c>
      <c r="P1107" s="17">
        <v>458.3</v>
      </c>
      <c r="Q1107" s="17">
        <v>280.3</v>
      </c>
      <c r="R1107" s="17">
        <f t="shared" si="52"/>
        <v>195.29999999999995</v>
      </c>
      <c r="S1107" s="17">
        <v>218.9</v>
      </c>
      <c r="T1107" s="17">
        <f t="shared" si="53"/>
        <v>143.6</v>
      </c>
    </row>
    <row r="1108" spans="1:20" x14ac:dyDescent="0.35">
      <c r="A1108" s="14" t="s">
        <v>103</v>
      </c>
      <c r="B1108" s="15" t="s">
        <v>104</v>
      </c>
      <c r="C1108" s="15" t="s">
        <v>93</v>
      </c>
      <c r="D1108" s="15" t="s">
        <v>94</v>
      </c>
      <c r="E1108" s="15" t="s">
        <v>91</v>
      </c>
      <c r="F1108" s="15" t="s">
        <v>67</v>
      </c>
      <c r="G1108" s="15" t="s">
        <v>68</v>
      </c>
      <c r="H1108" s="15" t="s">
        <v>69</v>
      </c>
      <c r="I1108" s="16">
        <v>232335</v>
      </c>
      <c r="J1108" s="16">
        <v>211036</v>
      </c>
      <c r="K1108" s="16">
        <v>225359</v>
      </c>
      <c r="L1108" s="17">
        <v>1256.5</v>
      </c>
      <c r="M1108" s="17">
        <v>51.8</v>
      </c>
      <c r="N1108" s="17">
        <f t="shared" si="51"/>
        <v>1204.7</v>
      </c>
      <c r="O1108" s="17">
        <v>1045.3</v>
      </c>
      <c r="P1108" s="17">
        <v>1163.5</v>
      </c>
      <c r="Q1108" s="17">
        <v>657</v>
      </c>
      <c r="R1108" s="17">
        <f t="shared" si="52"/>
        <v>547.70000000000005</v>
      </c>
      <c r="S1108" s="17">
        <v>584.6</v>
      </c>
      <c r="T1108" s="17">
        <f t="shared" si="53"/>
        <v>460.69999999999993</v>
      </c>
    </row>
    <row r="1109" spans="1:20" x14ac:dyDescent="0.35">
      <c r="A1109" s="14" t="s">
        <v>103</v>
      </c>
      <c r="B1109" s="15" t="s">
        <v>104</v>
      </c>
      <c r="C1109" s="15" t="s">
        <v>93</v>
      </c>
      <c r="D1109" s="15" t="s">
        <v>94</v>
      </c>
      <c r="E1109" s="15" t="s">
        <v>91</v>
      </c>
      <c r="F1109" s="15" t="s">
        <v>67</v>
      </c>
      <c r="G1109" s="15" t="s">
        <v>68</v>
      </c>
      <c r="H1109" s="15" t="s">
        <v>70</v>
      </c>
      <c r="I1109" s="16">
        <v>56415</v>
      </c>
      <c r="J1109" s="16">
        <v>48880</v>
      </c>
      <c r="K1109" s="16">
        <v>55282</v>
      </c>
      <c r="L1109" s="17">
        <v>359.8</v>
      </c>
      <c r="M1109" s="17">
        <v>15.8</v>
      </c>
      <c r="N1109" s="17">
        <f t="shared" si="51"/>
        <v>344</v>
      </c>
      <c r="O1109" s="17">
        <v>284.5</v>
      </c>
      <c r="P1109" s="17">
        <v>335.2</v>
      </c>
      <c r="Q1109" s="17">
        <v>200.7</v>
      </c>
      <c r="R1109" s="17">
        <f t="shared" si="52"/>
        <v>143.30000000000001</v>
      </c>
      <c r="S1109" s="17">
        <v>170.2</v>
      </c>
      <c r="T1109" s="17">
        <f t="shared" si="53"/>
        <v>114.30000000000001</v>
      </c>
    </row>
    <row r="1110" spans="1:20" x14ac:dyDescent="0.35">
      <c r="A1110" s="14" t="s">
        <v>103</v>
      </c>
      <c r="B1110" s="15" t="s">
        <v>104</v>
      </c>
      <c r="C1110" s="15" t="s">
        <v>93</v>
      </c>
      <c r="D1110" s="15" t="s">
        <v>94</v>
      </c>
      <c r="E1110" s="15" t="s">
        <v>91</v>
      </c>
      <c r="F1110" s="15" t="s">
        <v>67</v>
      </c>
      <c r="G1110" s="15" t="s">
        <v>68</v>
      </c>
      <c r="H1110" s="15" t="s">
        <v>71</v>
      </c>
      <c r="I1110" s="16">
        <v>113754</v>
      </c>
      <c r="J1110" s="16">
        <v>101095</v>
      </c>
      <c r="K1110" s="16">
        <v>111267</v>
      </c>
      <c r="L1110" s="17">
        <v>953.9</v>
      </c>
      <c r="M1110" s="17">
        <v>48.9</v>
      </c>
      <c r="N1110" s="17">
        <f t="shared" si="51"/>
        <v>905</v>
      </c>
      <c r="O1110" s="17">
        <v>769.6</v>
      </c>
      <c r="P1110" s="17">
        <v>881.2</v>
      </c>
      <c r="Q1110" s="17">
        <v>568.4</v>
      </c>
      <c r="R1110" s="17">
        <f t="shared" si="52"/>
        <v>336.6</v>
      </c>
      <c r="S1110" s="17">
        <v>486.6</v>
      </c>
      <c r="T1110" s="17">
        <f t="shared" si="53"/>
        <v>283</v>
      </c>
    </row>
    <row r="1111" spans="1:20" x14ac:dyDescent="0.35">
      <c r="A1111" s="14" t="s">
        <v>103</v>
      </c>
      <c r="B1111" s="15" t="s">
        <v>104</v>
      </c>
      <c r="C1111" s="15" t="s">
        <v>93</v>
      </c>
      <c r="D1111" s="15" t="s">
        <v>94</v>
      </c>
      <c r="E1111" s="15" t="s">
        <v>91</v>
      </c>
      <c r="F1111" s="15" t="s">
        <v>67</v>
      </c>
      <c r="G1111" s="15" t="s">
        <v>68</v>
      </c>
      <c r="H1111" s="15" t="s">
        <v>72</v>
      </c>
      <c r="I1111" s="16">
        <v>54969</v>
      </c>
      <c r="J1111" s="16">
        <v>47738</v>
      </c>
      <c r="K1111" s="16">
        <v>53515</v>
      </c>
      <c r="L1111" s="17">
        <v>597.4</v>
      </c>
      <c r="M1111" s="17">
        <v>31</v>
      </c>
      <c r="N1111" s="17">
        <f t="shared" si="51"/>
        <v>566.4</v>
      </c>
      <c r="O1111" s="17">
        <v>467.4</v>
      </c>
      <c r="P1111" s="17">
        <v>551.29999999999995</v>
      </c>
      <c r="Q1111" s="17">
        <v>369.5</v>
      </c>
      <c r="R1111" s="17">
        <f t="shared" si="52"/>
        <v>196.89999999999998</v>
      </c>
      <c r="S1111" s="17">
        <v>306.89999999999998</v>
      </c>
      <c r="T1111" s="17">
        <f t="shared" si="53"/>
        <v>160.5</v>
      </c>
    </row>
    <row r="1112" spans="1:20" x14ac:dyDescent="0.35">
      <c r="A1112" s="14" t="s">
        <v>103</v>
      </c>
      <c r="B1112" s="15" t="s">
        <v>104</v>
      </c>
      <c r="C1112" s="15" t="s">
        <v>93</v>
      </c>
      <c r="D1112" s="15" t="s">
        <v>94</v>
      </c>
      <c r="E1112" s="15" t="s">
        <v>91</v>
      </c>
      <c r="F1112" s="15" t="s">
        <v>67</v>
      </c>
      <c r="G1112" s="15" t="s">
        <v>73</v>
      </c>
      <c r="H1112" s="15" t="s">
        <v>71</v>
      </c>
      <c r="I1112" s="16">
        <v>27554</v>
      </c>
      <c r="J1112" s="16">
        <v>22658</v>
      </c>
      <c r="K1112" s="16">
        <v>27035</v>
      </c>
      <c r="L1112" s="17">
        <v>219.5</v>
      </c>
      <c r="M1112" s="17">
        <v>9.6</v>
      </c>
      <c r="N1112" s="17">
        <f t="shared" si="51"/>
        <v>209.9</v>
      </c>
      <c r="O1112" s="17">
        <v>164.6</v>
      </c>
      <c r="P1112" s="17">
        <v>203.2</v>
      </c>
      <c r="Q1112" s="17">
        <v>127.1</v>
      </c>
      <c r="R1112" s="17">
        <f t="shared" si="52"/>
        <v>82.800000000000011</v>
      </c>
      <c r="S1112" s="17">
        <v>100.9</v>
      </c>
      <c r="T1112" s="17">
        <f t="shared" si="53"/>
        <v>63.699999999999989</v>
      </c>
    </row>
    <row r="1113" spans="1:20" x14ac:dyDescent="0.35">
      <c r="A1113" s="14" t="s">
        <v>103</v>
      </c>
      <c r="B1113" s="15" t="s">
        <v>104</v>
      </c>
      <c r="C1113" s="15" t="s">
        <v>93</v>
      </c>
      <c r="D1113" s="15" t="s">
        <v>94</v>
      </c>
      <c r="E1113" s="15" t="s">
        <v>91</v>
      </c>
      <c r="F1113" s="15" t="s">
        <v>67</v>
      </c>
      <c r="G1113" s="15" t="s">
        <v>73</v>
      </c>
      <c r="H1113" s="15" t="s">
        <v>72</v>
      </c>
      <c r="I1113" s="16">
        <v>20289</v>
      </c>
      <c r="J1113" s="16">
        <v>16365</v>
      </c>
      <c r="K1113" s="16">
        <v>19709</v>
      </c>
      <c r="L1113" s="17">
        <v>223.9</v>
      </c>
      <c r="M1113" s="17">
        <v>9</v>
      </c>
      <c r="N1113" s="17">
        <f t="shared" si="51"/>
        <v>214.9</v>
      </c>
      <c r="O1113" s="17">
        <v>164</v>
      </c>
      <c r="P1113" s="17">
        <v>207.2</v>
      </c>
      <c r="Q1113" s="17">
        <v>140.5</v>
      </c>
      <c r="R1113" s="17">
        <f t="shared" si="52"/>
        <v>74.400000000000006</v>
      </c>
      <c r="S1113" s="17">
        <v>108.8</v>
      </c>
      <c r="T1113" s="17">
        <f t="shared" si="53"/>
        <v>55.2</v>
      </c>
    </row>
    <row r="1114" spans="1:20" x14ac:dyDescent="0.35">
      <c r="A1114" s="14" t="s">
        <v>103</v>
      </c>
      <c r="B1114" s="15" t="s">
        <v>104</v>
      </c>
      <c r="C1114" s="15" t="s">
        <v>93</v>
      </c>
      <c r="D1114" s="15" t="s">
        <v>94</v>
      </c>
      <c r="E1114" s="15" t="s">
        <v>91</v>
      </c>
      <c r="F1114" s="15" t="s">
        <v>67</v>
      </c>
      <c r="G1114" s="15" t="s">
        <v>74</v>
      </c>
      <c r="H1114" s="15" t="s">
        <v>70</v>
      </c>
      <c r="I1114" s="16">
        <v>26617</v>
      </c>
      <c r="J1114" s="16">
        <v>23138</v>
      </c>
      <c r="K1114" s="16">
        <v>26024</v>
      </c>
      <c r="L1114" s="17">
        <v>164.7</v>
      </c>
      <c r="M1114" s="17">
        <v>6.9</v>
      </c>
      <c r="N1114" s="17">
        <f t="shared" si="51"/>
        <v>157.79999999999998</v>
      </c>
      <c r="O1114" s="17">
        <v>130.5</v>
      </c>
      <c r="P1114" s="17">
        <v>153</v>
      </c>
      <c r="Q1114" s="17">
        <v>88.4</v>
      </c>
      <c r="R1114" s="17">
        <f t="shared" si="52"/>
        <v>69.399999999999977</v>
      </c>
      <c r="S1114" s="17">
        <v>74</v>
      </c>
      <c r="T1114" s="17">
        <f t="shared" si="53"/>
        <v>56.5</v>
      </c>
    </row>
    <row r="1115" spans="1:20" x14ac:dyDescent="0.35">
      <c r="A1115" s="14" t="s">
        <v>103</v>
      </c>
      <c r="B1115" s="15" t="s">
        <v>104</v>
      </c>
      <c r="C1115" s="15" t="s">
        <v>93</v>
      </c>
      <c r="D1115" s="15" t="s">
        <v>94</v>
      </c>
      <c r="E1115" s="15" t="s">
        <v>91</v>
      </c>
      <c r="F1115" s="15" t="s">
        <v>67</v>
      </c>
      <c r="G1115" s="15" t="s">
        <v>74</v>
      </c>
      <c r="H1115" s="15" t="s">
        <v>71</v>
      </c>
      <c r="I1115" s="16">
        <v>51350</v>
      </c>
      <c r="J1115" s="16">
        <v>44789</v>
      </c>
      <c r="K1115" s="16">
        <v>49923</v>
      </c>
      <c r="L1115" s="17">
        <v>407.7</v>
      </c>
      <c r="M1115" s="17">
        <v>22.5</v>
      </c>
      <c r="N1115" s="17">
        <f t="shared" si="51"/>
        <v>385.2</v>
      </c>
      <c r="O1115" s="17">
        <v>319.5</v>
      </c>
      <c r="P1115" s="17">
        <v>372.1</v>
      </c>
      <c r="Q1115" s="17">
        <v>242</v>
      </c>
      <c r="R1115" s="17">
        <f t="shared" si="52"/>
        <v>143.19999999999999</v>
      </c>
      <c r="S1115" s="17">
        <v>202.9</v>
      </c>
      <c r="T1115" s="17">
        <f t="shared" si="53"/>
        <v>116.6</v>
      </c>
    </row>
    <row r="1116" spans="1:20" x14ac:dyDescent="0.35">
      <c r="A1116" s="14" t="s">
        <v>103</v>
      </c>
      <c r="B1116" s="15" t="s">
        <v>104</v>
      </c>
      <c r="C1116" s="15" t="s">
        <v>93</v>
      </c>
      <c r="D1116" s="15" t="s">
        <v>94</v>
      </c>
      <c r="E1116" s="15" t="s">
        <v>91</v>
      </c>
      <c r="F1116" s="15" t="s">
        <v>67</v>
      </c>
      <c r="G1116" s="15" t="s">
        <v>75</v>
      </c>
      <c r="H1116" s="15" t="s">
        <v>71</v>
      </c>
      <c r="I1116" s="16">
        <v>34095</v>
      </c>
      <c r="J1116" s="16">
        <v>30316</v>
      </c>
      <c r="K1116" s="16">
        <v>33013</v>
      </c>
      <c r="L1116" s="17">
        <v>272.10000000000002</v>
      </c>
      <c r="M1116" s="17">
        <v>14.3</v>
      </c>
      <c r="N1116" s="17">
        <f t="shared" si="51"/>
        <v>257.8</v>
      </c>
      <c r="O1116" s="17">
        <v>215.8</v>
      </c>
      <c r="P1116" s="17">
        <v>248.2</v>
      </c>
      <c r="Q1116" s="17">
        <v>156.4</v>
      </c>
      <c r="R1116" s="17">
        <f t="shared" si="52"/>
        <v>101.4</v>
      </c>
      <c r="S1116" s="17">
        <v>132.9</v>
      </c>
      <c r="T1116" s="17">
        <f t="shared" si="53"/>
        <v>82.9</v>
      </c>
    </row>
    <row r="1117" spans="1:20" x14ac:dyDescent="0.35">
      <c r="A1117" s="14" t="s">
        <v>103</v>
      </c>
      <c r="B1117" s="15" t="s">
        <v>104</v>
      </c>
      <c r="C1117" s="15" t="s">
        <v>93</v>
      </c>
      <c r="D1117" s="15" t="s">
        <v>94</v>
      </c>
      <c r="E1117" s="15" t="s">
        <v>91</v>
      </c>
      <c r="F1117" s="15" t="s">
        <v>67</v>
      </c>
      <c r="G1117" s="15" t="s">
        <v>76</v>
      </c>
      <c r="H1117" s="15" t="s">
        <v>72</v>
      </c>
      <c r="I1117" s="16">
        <v>44379</v>
      </c>
      <c r="J1117" s="16">
        <v>37959</v>
      </c>
      <c r="K1117" s="16">
        <v>43313</v>
      </c>
      <c r="L1117" s="17">
        <v>607.5</v>
      </c>
      <c r="M1117" s="17">
        <v>31.7</v>
      </c>
      <c r="N1117" s="17">
        <f t="shared" si="51"/>
        <v>575.79999999999995</v>
      </c>
      <c r="O1117" s="17">
        <v>469.8</v>
      </c>
      <c r="P1117" s="17">
        <v>557.9</v>
      </c>
      <c r="Q1117" s="17">
        <v>355.1</v>
      </c>
      <c r="R1117" s="17">
        <f t="shared" si="52"/>
        <v>220.69999999999993</v>
      </c>
      <c r="S1117" s="17">
        <v>293.60000000000002</v>
      </c>
      <c r="T1117" s="17">
        <f t="shared" si="53"/>
        <v>176.2</v>
      </c>
    </row>
    <row r="1118" spans="1:20" x14ac:dyDescent="0.35">
      <c r="A1118" s="14" t="s">
        <v>103</v>
      </c>
      <c r="B1118" s="15" t="s">
        <v>104</v>
      </c>
      <c r="C1118" s="15" t="s">
        <v>93</v>
      </c>
      <c r="D1118" s="15" t="s">
        <v>94</v>
      </c>
      <c r="E1118" s="15" t="s">
        <v>91</v>
      </c>
      <c r="F1118" s="15" t="s">
        <v>79</v>
      </c>
      <c r="G1118" s="15" t="s">
        <v>95</v>
      </c>
      <c r="H1118" s="15" t="s">
        <v>71</v>
      </c>
      <c r="I1118" s="16">
        <v>36998</v>
      </c>
      <c r="J1118" s="16">
        <v>31958</v>
      </c>
      <c r="K1118" s="16">
        <v>36156</v>
      </c>
      <c r="L1118" s="17">
        <v>188.3</v>
      </c>
      <c r="M1118" s="17">
        <v>9.6999999999999993</v>
      </c>
      <c r="N1118" s="17">
        <f t="shared" si="51"/>
        <v>178.60000000000002</v>
      </c>
      <c r="O1118" s="17">
        <v>145.19999999999999</v>
      </c>
      <c r="P1118" s="17">
        <v>173.7</v>
      </c>
      <c r="Q1118" s="17">
        <v>109.4</v>
      </c>
      <c r="R1118" s="17">
        <f t="shared" si="52"/>
        <v>69.200000000000017</v>
      </c>
      <c r="S1118" s="17">
        <v>90.2</v>
      </c>
      <c r="T1118" s="17">
        <f t="shared" si="53"/>
        <v>54.999999999999986</v>
      </c>
    </row>
    <row r="1119" spans="1:20" x14ac:dyDescent="0.35">
      <c r="A1119" s="14" t="s">
        <v>103</v>
      </c>
      <c r="B1119" s="15" t="s">
        <v>104</v>
      </c>
      <c r="C1119" s="15" t="s">
        <v>93</v>
      </c>
      <c r="D1119" s="15" t="s">
        <v>94</v>
      </c>
      <c r="E1119" s="15" t="s">
        <v>91</v>
      </c>
      <c r="F1119" s="15" t="s">
        <v>81</v>
      </c>
      <c r="G1119" s="15" t="s">
        <v>82</v>
      </c>
      <c r="H1119" s="15" t="s">
        <v>71</v>
      </c>
      <c r="I1119" s="16">
        <v>12636</v>
      </c>
      <c r="J1119" s="16">
        <v>10889</v>
      </c>
      <c r="K1119" s="16">
        <v>12354</v>
      </c>
      <c r="L1119" s="17">
        <v>133</v>
      </c>
      <c r="M1119" s="17">
        <v>7.2</v>
      </c>
      <c r="N1119" s="17">
        <f t="shared" si="51"/>
        <v>125.8</v>
      </c>
      <c r="O1119" s="17">
        <v>103.6</v>
      </c>
      <c r="P1119" s="17">
        <v>121.6</v>
      </c>
      <c r="Q1119" s="17">
        <v>76.599999999999994</v>
      </c>
      <c r="R1119" s="17">
        <f t="shared" si="52"/>
        <v>49.2</v>
      </c>
      <c r="S1119" s="17">
        <v>63.8</v>
      </c>
      <c r="T1119" s="17">
        <f t="shared" si="53"/>
        <v>39.799999999999997</v>
      </c>
    </row>
    <row r="1120" spans="1:20" x14ac:dyDescent="0.35">
      <c r="A1120" s="14" t="s">
        <v>103</v>
      </c>
      <c r="B1120" s="15" t="s">
        <v>104</v>
      </c>
      <c r="C1120" s="15" t="s">
        <v>93</v>
      </c>
      <c r="D1120" s="15" t="s">
        <v>94</v>
      </c>
      <c r="E1120" s="15" t="s">
        <v>91</v>
      </c>
      <c r="F1120" s="15" t="s">
        <v>83</v>
      </c>
      <c r="G1120" s="15" t="s">
        <v>84</v>
      </c>
      <c r="H1120" s="15" t="s">
        <v>72</v>
      </c>
      <c r="I1120" s="16">
        <v>10685</v>
      </c>
      <c r="J1120" s="16">
        <v>8168</v>
      </c>
      <c r="K1120" s="16">
        <v>10366</v>
      </c>
      <c r="L1120" s="17">
        <v>358.5</v>
      </c>
      <c r="M1120" s="17">
        <v>16.100000000000001</v>
      </c>
      <c r="N1120" s="17">
        <f t="shared" si="51"/>
        <v>342.4</v>
      </c>
      <c r="O1120" s="17">
        <v>248.1</v>
      </c>
      <c r="P1120" s="17">
        <v>331.7</v>
      </c>
      <c r="Q1120" s="17">
        <v>201.1</v>
      </c>
      <c r="R1120" s="17">
        <f t="shared" si="52"/>
        <v>141.29999999999998</v>
      </c>
      <c r="S1120" s="17">
        <v>148.9</v>
      </c>
      <c r="T1120" s="17">
        <f t="shared" si="53"/>
        <v>99.199999999999989</v>
      </c>
    </row>
    <row r="1121" spans="1:20" x14ac:dyDescent="0.35">
      <c r="A1121" s="14" t="s">
        <v>103</v>
      </c>
      <c r="B1121" s="15" t="s">
        <v>104</v>
      </c>
      <c r="C1121" s="15" t="s">
        <v>93</v>
      </c>
      <c r="D1121" s="15" t="s">
        <v>94</v>
      </c>
      <c r="E1121" s="15" t="s">
        <v>92</v>
      </c>
      <c r="F1121" s="15" t="s">
        <v>67</v>
      </c>
      <c r="G1121" s="15" t="s">
        <v>68</v>
      </c>
      <c r="H1121" s="15" t="s">
        <v>69</v>
      </c>
      <c r="I1121" s="16">
        <v>239733</v>
      </c>
      <c r="J1121" s="16">
        <v>183191</v>
      </c>
      <c r="K1121" s="16">
        <v>233188</v>
      </c>
      <c r="L1121" s="17">
        <v>1201.8</v>
      </c>
      <c r="M1121" s="17">
        <v>92.2</v>
      </c>
      <c r="N1121" s="17">
        <f t="shared" si="51"/>
        <v>1109.5999999999999</v>
      </c>
      <c r="O1121" s="17">
        <v>804.1</v>
      </c>
      <c r="P1121" s="17">
        <v>1079.5</v>
      </c>
      <c r="Q1121" s="17">
        <v>598.20000000000005</v>
      </c>
      <c r="R1121" s="17">
        <f t="shared" si="52"/>
        <v>511.39999999999986</v>
      </c>
      <c r="S1121" s="17">
        <v>439.2</v>
      </c>
      <c r="T1121" s="17">
        <f t="shared" si="53"/>
        <v>364.90000000000003</v>
      </c>
    </row>
    <row r="1122" spans="1:20" x14ac:dyDescent="0.35">
      <c r="A1122" s="14" t="s">
        <v>103</v>
      </c>
      <c r="B1122" s="15" t="s">
        <v>104</v>
      </c>
      <c r="C1122" s="15" t="s">
        <v>93</v>
      </c>
      <c r="D1122" s="15" t="s">
        <v>94</v>
      </c>
      <c r="E1122" s="15" t="s">
        <v>92</v>
      </c>
      <c r="F1122" s="15" t="s">
        <v>67</v>
      </c>
      <c r="G1122" s="15" t="s">
        <v>68</v>
      </c>
      <c r="H1122" s="15" t="s">
        <v>70</v>
      </c>
      <c r="I1122" s="16">
        <v>199662</v>
      </c>
      <c r="J1122" s="16">
        <v>151332</v>
      </c>
      <c r="K1122" s="16">
        <v>193738</v>
      </c>
      <c r="L1122" s="17">
        <v>1227.5</v>
      </c>
      <c r="M1122" s="17">
        <v>100.7</v>
      </c>
      <c r="N1122" s="17">
        <f t="shared" si="51"/>
        <v>1126.8</v>
      </c>
      <c r="O1122" s="17">
        <v>812.6</v>
      </c>
      <c r="P1122" s="17">
        <v>1089.5</v>
      </c>
      <c r="Q1122" s="17">
        <v>653.29999999999995</v>
      </c>
      <c r="R1122" s="17">
        <f t="shared" si="52"/>
        <v>473.5</v>
      </c>
      <c r="S1122" s="17">
        <v>474.9</v>
      </c>
      <c r="T1122" s="17">
        <f t="shared" si="53"/>
        <v>337.70000000000005</v>
      </c>
    </row>
    <row r="1123" spans="1:20" x14ac:dyDescent="0.35">
      <c r="A1123" s="14" t="s">
        <v>103</v>
      </c>
      <c r="B1123" s="15" t="s">
        <v>104</v>
      </c>
      <c r="C1123" s="15" t="s">
        <v>93</v>
      </c>
      <c r="D1123" s="15" t="s">
        <v>94</v>
      </c>
      <c r="E1123" s="15" t="s">
        <v>92</v>
      </c>
      <c r="F1123" s="15" t="s">
        <v>67</v>
      </c>
      <c r="G1123" s="15" t="s">
        <v>68</v>
      </c>
      <c r="H1123" s="15" t="s">
        <v>71</v>
      </c>
      <c r="I1123" s="16">
        <v>203052</v>
      </c>
      <c r="J1123" s="16">
        <v>156533</v>
      </c>
      <c r="K1123" s="16">
        <v>197659</v>
      </c>
      <c r="L1123" s="17">
        <v>1564.6</v>
      </c>
      <c r="M1123" s="17">
        <v>124.9</v>
      </c>
      <c r="N1123" s="17">
        <f t="shared" si="51"/>
        <v>1439.6999999999998</v>
      </c>
      <c r="O1123" s="17">
        <v>1061.0999999999999</v>
      </c>
      <c r="P1123" s="17">
        <v>1391.3</v>
      </c>
      <c r="Q1123" s="17">
        <v>904.7</v>
      </c>
      <c r="R1123" s="17">
        <f t="shared" si="52"/>
        <v>534.99999999999977</v>
      </c>
      <c r="S1123" s="17">
        <v>681.7</v>
      </c>
      <c r="T1123" s="17">
        <f t="shared" si="53"/>
        <v>379.39999999999986</v>
      </c>
    </row>
    <row r="1124" spans="1:20" x14ac:dyDescent="0.35">
      <c r="A1124" s="14" t="s">
        <v>103</v>
      </c>
      <c r="B1124" s="15" t="s">
        <v>104</v>
      </c>
      <c r="C1124" s="15" t="s">
        <v>93</v>
      </c>
      <c r="D1124" s="15" t="s">
        <v>94</v>
      </c>
      <c r="E1124" s="15" t="s">
        <v>92</v>
      </c>
      <c r="F1124" s="15" t="s">
        <v>67</v>
      </c>
      <c r="G1124" s="15" t="s">
        <v>68</v>
      </c>
      <c r="H1124" s="15" t="s">
        <v>72</v>
      </c>
      <c r="I1124" s="16">
        <v>55947</v>
      </c>
      <c r="J1124" s="16">
        <v>41827</v>
      </c>
      <c r="K1124" s="16">
        <v>54790</v>
      </c>
      <c r="L1124" s="17">
        <v>582</v>
      </c>
      <c r="M1124" s="17">
        <v>50.8</v>
      </c>
      <c r="N1124" s="17">
        <f t="shared" si="51"/>
        <v>531.20000000000005</v>
      </c>
      <c r="O1124" s="17">
        <v>378.1</v>
      </c>
      <c r="P1124" s="17">
        <v>514.6</v>
      </c>
      <c r="Q1124" s="17">
        <v>337.4</v>
      </c>
      <c r="R1124" s="17">
        <f t="shared" si="52"/>
        <v>193.80000000000007</v>
      </c>
      <c r="S1124" s="17">
        <v>242.2</v>
      </c>
      <c r="T1124" s="17">
        <f t="shared" si="53"/>
        <v>135.90000000000003</v>
      </c>
    </row>
    <row r="1125" spans="1:20" x14ac:dyDescent="0.35">
      <c r="A1125" s="14" t="s">
        <v>103</v>
      </c>
      <c r="B1125" s="15" t="s">
        <v>104</v>
      </c>
      <c r="C1125" s="15" t="s">
        <v>93</v>
      </c>
      <c r="D1125" s="15" t="s">
        <v>94</v>
      </c>
      <c r="E1125" s="15" t="s">
        <v>92</v>
      </c>
      <c r="F1125" s="15" t="s">
        <v>67</v>
      </c>
      <c r="G1125" s="15" t="s">
        <v>73</v>
      </c>
      <c r="H1125" s="15" t="s">
        <v>71</v>
      </c>
      <c r="I1125" s="16">
        <v>56555</v>
      </c>
      <c r="J1125" s="16">
        <v>40522</v>
      </c>
      <c r="K1125" s="16">
        <v>55209</v>
      </c>
      <c r="L1125" s="17">
        <v>425.2</v>
      </c>
      <c r="M1125" s="17">
        <v>31.3</v>
      </c>
      <c r="N1125" s="17">
        <f t="shared" si="51"/>
        <v>393.9</v>
      </c>
      <c r="O1125" s="17">
        <v>267.60000000000002</v>
      </c>
      <c r="P1125" s="17">
        <v>381.8</v>
      </c>
      <c r="Q1125" s="17">
        <v>247</v>
      </c>
      <c r="R1125" s="17">
        <f t="shared" si="52"/>
        <v>146.89999999999998</v>
      </c>
      <c r="S1125" s="17">
        <v>170.4</v>
      </c>
      <c r="T1125" s="17">
        <f t="shared" si="53"/>
        <v>97.200000000000017</v>
      </c>
    </row>
    <row r="1126" spans="1:20" x14ac:dyDescent="0.35">
      <c r="A1126" s="14" t="s">
        <v>103</v>
      </c>
      <c r="B1126" s="15" t="s">
        <v>104</v>
      </c>
      <c r="C1126" s="15" t="s">
        <v>93</v>
      </c>
      <c r="D1126" s="15" t="s">
        <v>94</v>
      </c>
      <c r="E1126" s="15" t="s">
        <v>92</v>
      </c>
      <c r="F1126" s="15" t="s">
        <v>67</v>
      </c>
      <c r="G1126" s="15" t="s">
        <v>73</v>
      </c>
      <c r="H1126" s="15" t="s">
        <v>72</v>
      </c>
      <c r="I1126" s="16">
        <v>17935</v>
      </c>
      <c r="J1126" s="16">
        <v>12474</v>
      </c>
      <c r="K1126" s="16">
        <v>17425</v>
      </c>
      <c r="L1126" s="17">
        <v>179</v>
      </c>
      <c r="M1126" s="17">
        <v>14.1</v>
      </c>
      <c r="N1126" s="17">
        <f t="shared" si="51"/>
        <v>164.9</v>
      </c>
      <c r="O1126" s="17">
        <v>109.1</v>
      </c>
      <c r="P1126" s="17">
        <v>159.6</v>
      </c>
      <c r="Q1126" s="17">
        <v>106.7</v>
      </c>
      <c r="R1126" s="17">
        <f t="shared" si="52"/>
        <v>58.2</v>
      </c>
      <c r="S1126" s="17">
        <v>71.2</v>
      </c>
      <c r="T1126" s="17">
        <f t="shared" si="53"/>
        <v>37.899999999999991</v>
      </c>
    </row>
    <row r="1127" spans="1:20" x14ac:dyDescent="0.35">
      <c r="A1127" s="14" t="s">
        <v>103</v>
      </c>
      <c r="B1127" s="15" t="s">
        <v>104</v>
      </c>
      <c r="C1127" s="15" t="s">
        <v>93</v>
      </c>
      <c r="D1127" s="15" t="s">
        <v>94</v>
      </c>
      <c r="E1127" s="15" t="s">
        <v>92</v>
      </c>
      <c r="F1127" s="15" t="s">
        <v>67</v>
      </c>
      <c r="G1127" s="15" t="s">
        <v>74</v>
      </c>
      <c r="H1127" s="15" t="s">
        <v>70</v>
      </c>
      <c r="I1127" s="16">
        <v>85004</v>
      </c>
      <c r="J1127" s="16">
        <v>63638</v>
      </c>
      <c r="K1127" s="16">
        <v>83195</v>
      </c>
      <c r="L1127" s="17">
        <v>495.1</v>
      </c>
      <c r="M1127" s="17">
        <v>37.299999999999997</v>
      </c>
      <c r="N1127" s="17">
        <f t="shared" si="51"/>
        <v>457.8</v>
      </c>
      <c r="O1127" s="17">
        <v>324</v>
      </c>
      <c r="P1127" s="17">
        <v>442.8</v>
      </c>
      <c r="Q1127" s="17">
        <v>260.5</v>
      </c>
      <c r="R1127" s="17">
        <f t="shared" si="52"/>
        <v>197.3</v>
      </c>
      <c r="S1127" s="17">
        <v>188.1</v>
      </c>
      <c r="T1127" s="17">
        <f t="shared" si="53"/>
        <v>135.9</v>
      </c>
    </row>
    <row r="1128" spans="1:20" x14ac:dyDescent="0.35">
      <c r="A1128" s="14" t="s">
        <v>103</v>
      </c>
      <c r="B1128" s="15" t="s">
        <v>104</v>
      </c>
      <c r="C1128" s="15" t="s">
        <v>93</v>
      </c>
      <c r="D1128" s="15" t="s">
        <v>94</v>
      </c>
      <c r="E1128" s="15" t="s">
        <v>92</v>
      </c>
      <c r="F1128" s="15" t="s">
        <v>67</v>
      </c>
      <c r="G1128" s="15" t="s">
        <v>74</v>
      </c>
      <c r="H1128" s="15" t="s">
        <v>71</v>
      </c>
      <c r="I1128" s="16">
        <v>96807</v>
      </c>
      <c r="J1128" s="16">
        <v>73702</v>
      </c>
      <c r="K1128" s="16">
        <v>94388</v>
      </c>
      <c r="L1128" s="17">
        <v>717.1</v>
      </c>
      <c r="M1128" s="17">
        <v>64.3</v>
      </c>
      <c r="N1128" s="17">
        <f t="shared" si="51"/>
        <v>652.80000000000007</v>
      </c>
      <c r="O1128" s="17">
        <v>475.3</v>
      </c>
      <c r="P1128" s="17">
        <v>636.70000000000005</v>
      </c>
      <c r="Q1128" s="17">
        <v>397.9</v>
      </c>
      <c r="R1128" s="17">
        <f t="shared" si="52"/>
        <v>254.90000000000009</v>
      </c>
      <c r="S1128" s="17">
        <v>291.8</v>
      </c>
      <c r="T1128" s="17">
        <f t="shared" si="53"/>
        <v>183.5</v>
      </c>
    </row>
    <row r="1129" spans="1:20" x14ac:dyDescent="0.35">
      <c r="A1129" s="14" t="s">
        <v>103</v>
      </c>
      <c r="B1129" s="15" t="s">
        <v>104</v>
      </c>
      <c r="C1129" s="15" t="s">
        <v>93</v>
      </c>
      <c r="D1129" s="15" t="s">
        <v>94</v>
      </c>
      <c r="E1129" s="15" t="s">
        <v>92</v>
      </c>
      <c r="F1129" s="15" t="s">
        <v>67</v>
      </c>
      <c r="G1129" s="15" t="s">
        <v>75</v>
      </c>
      <c r="H1129" s="15" t="s">
        <v>71</v>
      </c>
      <c r="I1129" s="16">
        <v>71215</v>
      </c>
      <c r="J1129" s="16">
        <v>53680</v>
      </c>
      <c r="K1129" s="16">
        <v>69030</v>
      </c>
      <c r="L1129" s="17">
        <v>522.70000000000005</v>
      </c>
      <c r="M1129" s="17">
        <v>41.5</v>
      </c>
      <c r="N1129" s="17">
        <f t="shared" si="51"/>
        <v>481.20000000000005</v>
      </c>
      <c r="O1129" s="17">
        <v>346.8</v>
      </c>
      <c r="P1129" s="17">
        <v>466.1</v>
      </c>
      <c r="Q1129" s="17">
        <v>301.5</v>
      </c>
      <c r="R1129" s="17">
        <f t="shared" si="52"/>
        <v>179.70000000000005</v>
      </c>
      <c r="S1129" s="17">
        <v>220.9</v>
      </c>
      <c r="T1129" s="17">
        <f t="shared" si="53"/>
        <v>125.9</v>
      </c>
    </row>
    <row r="1130" spans="1:20" x14ac:dyDescent="0.35">
      <c r="A1130" s="14" t="s">
        <v>103</v>
      </c>
      <c r="B1130" s="15" t="s">
        <v>104</v>
      </c>
      <c r="C1130" s="15" t="s">
        <v>93</v>
      </c>
      <c r="D1130" s="15" t="s">
        <v>94</v>
      </c>
      <c r="E1130" s="15" t="s">
        <v>92</v>
      </c>
      <c r="F1130" s="15" t="s">
        <v>67</v>
      </c>
      <c r="G1130" s="15" t="s">
        <v>76</v>
      </c>
      <c r="H1130" s="15" t="s">
        <v>72</v>
      </c>
      <c r="I1130" s="16">
        <v>13326</v>
      </c>
      <c r="J1130" s="16">
        <v>9892</v>
      </c>
      <c r="K1130" s="16">
        <v>13095</v>
      </c>
      <c r="L1130" s="17">
        <v>165.4</v>
      </c>
      <c r="M1130" s="17">
        <v>12.2</v>
      </c>
      <c r="N1130" s="17">
        <f t="shared" si="51"/>
        <v>153.20000000000002</v>
      </c>
      <c r="O1130" s="17">
        <v>107.9</v>
      </c>
      <c r="P1130" s="17">
        <v>146.69999999999999</v>
      </c>
      <c r="Q1130" s="17">
        <v>94.7</v>
      </c>
      <c r="R1130" s="17">
        <f t="shared" si="52"/>
        <v>58.500000000000014</v>
      </c>
      <c r="S1130" s="17">
        <v>67.2</v>
      </c>
      <c r="T1130" s="17">
        <f t="shared" si="53"/>
        <v>40.700000000000003</v>
      </c>
    </row>
    <row r="1131" spans="1:20" x14ac:dyDescent="0.35">
      <c r="A1131" s="14" t="s">
        <v>103</v>
      </c>
      <c r="B1131" s="15" t="s">
        <v>104</v>
      </c>
      <c r="C1131" s="15" t="s">
        <v>93</v>
      </c>
      <c r="D1131" s="15" t="s">
        <v>94</v>
      </c>
      <c r="E1131" s="15" t="s">
        <v>92</v>
      </c>
      <c r="F1131" s="15" t="s">
        <v>79</v>
      </c>
      <c r="G1131" s="15" t="s">
        <v>95</v>
      </c>
      <c r="H1131" s="15" t="s">
        <v>71</v>
      </c>
      <c r="I1131" s="16">
        <v>63333</v>
      </c>
      <c r="J1131" s="16">
        <v>47319</v>
      </c>
      <c r="K1131" s="16">
        <v>61352</v>
      </c>
      <c r="L1131" s="17">
        <v>287.89999999999998</v>
      </c>
      <c r="M1131" s="17">
        <v>21</v>
      </c>
      <c r="N1131" s="17">
        <f t="shared" si="51"/>
        <v>266.89999999999998</v>
      </c>
      <c r="O1131" s="17">
        <v>190.1</v>
      </c>
      <c r="P1131" s="17">
        <v>256.3</v>
      </c>
      <c r="Q1131" s="17">
        <v>161.4</v>
      </c>
      <c r="R1131" s="17">
        <f t="shared" si="52"/>
        <v>105.49999999999997</v>
      </c>
      <c r="S1131" s="17">
        <v>116.2</v>
      </c>
      <c r="T1131" s="17">
        <f t="shared" si="53"/>
        <v>73.899999999999991</v>
      </c>
    </row>
    <row r="1132" spans="1:20" x14ac:dyDescent="0.35">
      <c r="A1132" s="14" t="s">
        <v>103</v>
      </c>
      <c r="B1132" s="15" t="s">
        <v>104</v>
      </c>
      <c r="C1132" s="15" t="s">
        <v>93</v>
      </c>
      <c r="D1132" s="15" t="s">
        <v>94</v>
      </c>
      <c r="E1132" s="15" t="s">
        <v>92</v>
      </c>
      <c r="F1132" s="15" t="s">
        <v>81</v>
      </c>
      <c r="G1132" s="15" t="s">
        <v>82</v>
      </c>
      <c r="H1132" s="15" t="s">
        <v>71</v>
      </c>
      <c r="I1132" s="16">
        <v>21543</v>
      </c>
      <c r="J1132" s="16">
        <v>15671</v>
      </c>
      <c r="K1132" s="16">
        <v>20997</v>
      </c>
      <c r="L1132" s="17">
        <v>211.5</v>
      </c>
      <c r="M1132" s="17">
        <v>17.5</v>
      </c>
      <c r="N1132" s="17">
        <f t="shared" si="51"/>
        <v>194</v>
      </c>
      <c r="O1132" s="17">
        <v>132.9</v>
      </c>
      <c r="P1132" s="17">
        <v>188</v>
      </c>
      <c r="Q1132" s="17">
        <v>122.5</v>
      </c>
      <c r="R1132" s="17">
        <f t="shared" si="52"/>
        <v>71.5</v>
      </c>
      <c r="S1132" s="17">
        <v>84.9</v>
      </c>
      <c r="T1132" s="17">
        <f t="shared" si="53"/>
        <v>48</v>
      </c>
    </row>
    <row r="1133" spans="1:20" x14ac:dyDescent="0.35">
      <c r="A1133" s="14" t="s">
        <v>103</v>
      </c>
      <c r="B1133" s="15" t="s">
        <v>104</v>
      </c>
      <c r="C1133" s="15" t="s">
        <v>93</v>
      </c>
      <c r="D1133" s="15" t="s">
        <v>94</v>
      </c>
      <c r="E1133" s="15" t="s">
        <v>92</v>
      </c>
      <c r="F1133" s="15" t="s">
        <v>83</v>
      </c>
      <c r="G1133" s="15" t="s">
        <v>84</v>
      </c>
      <c r="H1133" s="15" t="s">
        <v>72</v>
      </c>
      <c r="I1133" s="16">
        <v>11172</v>
      </c>
      <c r="J1133" s="16">
        <v>7543</v>
      </c>
      <c r="K1133" s="16">
        <v>10907</v>
      </c>
      <c r="L1133" s="17">
        <v>350.7</v>
      </c>
      <c r="M1133" s="17">
        <v>30.5</v>
      </c>
      <c r="N1133" s="17">
        <f t="shared" si="51"/>
        <v>320.2</v>
      </c>
      <c r="O1133" s="17">
        <v>205.5</v>
      </c>
      <c r="P1133" s="17">
        <v>312.10000000000002</v>
      </c>
      <c r="Q1133" s="17">
        <v>184.5</v>
      </c>
      <c r="R1133" s="17">
        <f t="shared" si="52"/>
        <v>135.69999999999999</v>
      </c>
      <c r="S1133" s="17">
        <v>121.3</v>
      </c>
      <c r="T1133" s="17">
        <f t="shared" si="53"/>
        <v>84.2</v>
      </c>
    </row>
    <row r="1134" spans="1:20" x14ac:dyDescent="0.35">
      <c r="A1134" s="14" t="s">
        <v>103</v>
      </c>
      <c r="B1134" s="15" t="s">
        <v>104</v>
      </c>
      <c r="C1134" s="15" t="s">
        <v>93</v>
      </c>
      <c r="D1134" s="15" t="s">
        <v>96</v>
      </c>
      <c r="E1134" s="15" t="s">
        <v>66</v>
      </c>
      <c r="F1134" s="15" t="s">
        <v>67</v>
      </c>
      <c r="G1134" s="15" t="s">
        <v>68</v>
      </c>
      <c r="H1134" s="15" t="s">
        <v>69</v>
      </c>
      <c r="I1134" s="16">
        <v>125878</v>
      </c>
      <c r="J1134" s="16">
        <v>110416</v>
      </c>
      <c r="K1134" s="16">
        <v>121669</v>
      </c>
      <c r="L1134" s="17">
        <v>537.6</v>
      </c>
      <c r="M1134" s="17">
        <v>75</v>
      </c>
      <c r="N1134" s="17">
        <f t="shared" si="51"/>
        <v>462.6</v>
      </c>
      <c r="O1134" s="17">
        <v>376.1</v>
      </c>
      <c r="P1134" s="17">
        <v>443.8</v>
      </c>
      <c r="Q1134" s="17">
        <v>259</v>
      </c>
      <c r="R1134" s="17">
        <f t="shared" si="52"/>
        <v>203.60000000000002</v>
      </c>
      <c r="S1134" s="17">
        <v>215.8</v>
      </c>
      <c r="T1134" s="17">
        <f t="shared" si="53"/>
        <v>160.30000000000001</v>
      </c>
    </row>
    <row r="1135" spans="1:20" x14ac:dyDescent="0.35">
      <c r="A1135" s="14" t="s">
        <v>103</v>
      </c>
      <c r="B1135" s="15" t="s">
        <v>104</v>
      </c>
      <c r="C1135" s="15" t="s">
        <v>93</v>
      </c>
      <c r="D1135" s="15" t="s">
        <v>96</v>
      </c>
      <c r="E1135" s="15" t="s">
        <v>66</v>
      </c>
      <c r="F1135" s="15" t="s">
        <v>67</v>
      </c>
      <c r="G1135" s="15" t="s">
        <v>68</v>
      </c>
      <c r="H1135" s="15" t="s">
        <v>70</v>
      </c>
      <c r="I1135" s="16">
        <v>206313</v>
      </c>
      <c r="J1135" s="16">
        <v>176516</v>
      </c>
      <c r="K1135" s="16">
        <v>200656</v>
      </c>
      <c r="L1135" s="17">
        <v>1033.3</v>
      </c>
      <c r="M1135" s="17">
        <v>150.6</v>
      </c>
      <c r="N1135" s="17">
        <f t="shared" si="51"/>
        <v>882.69999999999993</v>
      </c>
      <c r="O1135" s="17">
        <v>701.3</v>
      </c>
      <c r="P1135" s="17">
        <v>846.3</v>
      </c>
      <c r="Q1135" s="17">
        <v>499.3</v>
      </c>
      <c r="R1135" s="17">
        <f t="shared" si="52"/>
        <v>383.39999999999992</v>
      </c>
      <c r="S1135" s="17">
        <v>403</v>
      </c>
      <c r="T1135" s="17">
        <f t="shared" si="53"/>
        <v>298.29999999999995</v>
      </c>
    </row>
    <row r="1136" spans="1:20" x14ac:dyDescent="0.35">
      <c r="A1136" s="14" t="s">
        <v>103</v>
      </c>
      <c r="B1136" s="15" t="s">
        <v>104</v>
      </c>
      <c r="C1136" s="15" t="s">
        <v>93</v>
      </c>
      <c r="D1136" s="15" t="s">
        <v>96</v>
      </c>
      <c r="E1136" s="15" t="s">
        <v>66</v>
      </c>
      <c r="F1136" s="15" t="s">
        <v>67</v>
      </c>
      <c r="G1136" s="15" t="s">
        <v>68</v>
      </c>
      <c r="H1136" s="15" t="s">
        <v>71</v>
      </c>
      <c r="I1136" s="16">
        <v>484227</v>
      </c>
      <c r="J1136" s="16">
        <v>423597</v>
      </c>
      <c r="K1136" s="16">
        <v>464706</v>
      </c>
      <c r="L1136" s="17">
        <v>3051.5</v>
      </c>
      <c r="M1136" s="17">
        <v>401.1</v>
      </c>
      <c r="N1136" s="17">
        <f t="shared" si="51"/>
        <v>2650.4</v>
      </c>
      <c r="O1136" s="17">
        <v>2130.1</v>
      </c>
      <c r="P1136" s="17">
        <v>2547.1999999999998</v>
      </c>
      <c r="Q1136" s="17">
        <v>1665.9</v>
      </c>
      <c r="R1136" s="17">
        <f t="shared" si="52"/>
        <v>984.5</v>
      </c>
      <c r="S1136" s="17">
        <v>1357.7</v>
      </c>
      <c r="T1136" s="17">
        <f t="shared" si="53"/>
        <v>772.39999999999986</v>
      </c>
    </row>
    <row r="1137" spans="1:20" x14ac:dyDescent="0.35">
      <c r="A1137" s="14" t="s">
        <v>103</v>
      </c>
      <c r="B1137" s="15" t="s">
        <v>104</v>
      </c>
      <c r="C1137" s="15" t="s">
        <v>93</v>
      </c>
      <c r="D1137" s="15" t="s">
        <v>96</v>
      </c>
      <c r="E1137" s="15" t="s">
        <v>66</v>
      </c>
      <c r="F1137" s="15" t="s">
        <v>67</v>
      </c>
      <c r="G1137" s="15" t="s">
        <v>68</v>
      </c>
      <c r="H1137" s="15" t="s">
        <v>72</v>
      </c>
      <c r="I1137" s="16">
        <v>174276</v>
      </c>
      <c r="J1137" s="16">
        <v>151122</v>
      </c>
      <c r="K1137" s="16">
        <v>168722</v>
      </c>
      <c r="L1137" s="17">
        <v>1541.8</v>
      </c>
      <c r="M1137" s="17">
        <v>222.8</v>
      </c>
      <c r="N1137" s="17">
        <f t="shared" si="51"/>
        <v>1319</v>
      </c>
      <c r="O1137" s="17">
        <v>1051.2</v>
      </c>
      <c r="P1137" s="17">
        <v>1266.7</v>
      </c>
      <c r="Q1137" s="17">
        <v>839.7</v>
      </c>
      <c r="R1137" s="17">
        <f t="shared" si="52"/>
        <v>479.29999999999995</v>
      </c>
      <c r="S1137" s="17">
        <v>675.4</v>
      </c>
      <c r="T1137" s="17">
        <f t="shared" si="53"/>
        <v>375.80000000000007</v>
      </c>
    </row>
    <row r="1138" spans="1:20" x14ac:dyDescent="0.35">
      <c r="A1138" s="14" t="s">
        <v>103</v>
      </c>
      <c r="B1138" s="15" t="s">
        <v>104</v>
      </c>
      <c r="C1138" s="15" t="s">
        <v>93</v>
      </c>
      <c r="D1138" s="15" t="s">
        <v>96</v>
      </c>
      <c r="E1138" s="15" t="s">
        <v>66</v>
      </c>
      <c r="F1138" s="15" t="s">
        <v>67</v>
      </c>
      <c r="G1138" s="15" t="s">
        <v>73</v>
      </c>
      <c r="H1138" s="15" t="s">
        <v>71</v>
      </c>
      <c r="I1138" s="16">
        <v>114337</v>
      </c>
      <c r="J1138" s="16">
        <v>91702</v>
      </c>
      <c r="K1138" s="16">
        <v>110253</v>
      </c>
      <c r="L1138" s="17">
        <v>738.9</v>
      </c>
      <c r="M1138" s="17">
        <v>100.9</v>
      </c>
      <c r="N1138" s="17">
        <f t="shared" si="51"/>
        <v>638</v>
      </c>
      <c r="O1138" s="17">
        <v>474.8</v>
      </c>
      <c r="P1138" s="17">
        <v>614.1</v>
      </c>
      <c r="Q1138" s="17">
        <v>404.9</v>
      </c>
      <c r="R1138" s="17">
        <f t="shared" si="52"/>
        <v>233.10000000000002</v>
      </c>
      <c r="S1138" s="17">
        <v>306.60000000000002</v>
      </c>
      <c r="T1138" s="17">
        <f t="shared" si="53"/>
        <v>168.2</v>
      </c>
    </row>
    <row r="1139" spans="1:20" x14ac:dyDescent="0.35">
      <c r="A1139" s="14" t="s">
        <v>103</v>
      </c>
      <c r="B1139" s="15" t="s">
        <v>104</v>
      </c>
      <c r="C1139" s="15" t="s">
        <v>93</v>
      </c>
      <c r="D1139" s="15" t="s">
        <v>96</v>
      </c>
      <c r="E1139" s="15" t="s">
        <v>66</v>
      </c>
      <c r="F1139" s="15" t="s">
        <v>67</v>
      </c>
      <c r="G1139" s="15" t="s">
        <v>73</v>
      </c>
      <c r="H1139" s="15" t="s">
        <v>72</v>
      </c>
      <c r="I1139" s="16">
        <v>54183</v>
      </c>
      <c r="J1139" s="16">
        <v>42432</v>
      </c>
      <c r="K1139" s="16">
        <v>52272</v>
      </c>
      <c r="L1139" s="17">
        <v>467.9</v>
      </c>
      <c r="M1139" s="17">
        <v>67.099999999999994</v>
      </c>
      <c r="N1139" s="17">
        <f t="shared" si="51"/>
        <v>400.79999999999995</v>
      </c>
      <c r="O1139" s="17">
        <v>288.5</v>
      </c>
      <c r="P1139" s="17">
        <v>383.7</v>
      </c>
      <c r="Q1139" s="17">
        <v>257.2</v>
      </c>
      <c r="R1139" s="17">
        <f t="shared" si="52"/>
        <v>143.59999999999997</v>
      </c>
      <c r="S1139" s="17">
        <v>188.7</v>
      </c>
      <c r="T1139" s="17">
        <f t="shared" si="53"/>
        <v>99.800000000000011</v>
      </c>
    </row>
    <row r="1140" spans="1:20" x14ac:dyDescent="0.35">
      <c r="A1140" s="14" t="s">
        <v>103</v>
      </c>
      <c r="B1140" s="15" t="s">
        <v>104</v>
      </c>
      <c r="C1140" s="15" t="s">
        <v>93</v>
      </c>
      <c r="D1140" s="15" t="s">
        <v>96</v>
      </c>
      <c r="E1140" s="15" t="s">
        <v>66</v>
      </c>
      <c r="F1140" s="15" t="s">
        <v>67</v>
      </c>
      <c r="G1140" s="15" t="s">
        <v>74</v>
      </c>
      <c r="H1140" s="15" t="s">
        <v>70</v>
      </c>
      <c r="I1140" s="16">
        <v>82326</v>
      </c>
      <c r="J1140" s="16">
        <v>70102</v>
      </c>
      <c r="K1140" s="16">
        <v>79265</v>
      </c>
      <c r="L1140" s="17">
        <v>396.4</v>
      </c>
      <c r="M1140" s="17">
        <v>54.1</v>
      </c>
      <c r="N1140" s="17">
        <f t="shared" si="51"/>
        <v>342.29999999999995</v>
      </c>
      <c r="O1140" s="17">
        <v>271</v>
      </c>
      <c r="P1140" s="17">
        <v>326.5</v>
      </c>
      <c r="Q1140" s="17">
        <v>196.6</v>
      </c>
      <c r="R1140" s="17">
        <f t="shared" si="52"/>
        <v>145.69999999999996</v>
      </c>
      <c r="S1140" s="17">
        <v>157.5</v>
      </c>
      <c r="T1140" s="17">
        <f t="shared" si="53"/>
        <v>113.5</v>
      </c>
    </row>
    <row r="1141" spans="1:20" x14ac:dyDescent="0.35">
      <c r="A1141" s="14" t="s">
        <v>103</v>
      </c>
      <c r="B1141" s="15" t="s">
        <v>104</v>
      </c>
      <c r="C1141" s="15" t="s">
        <v>93</v>
      </c>
      <c r="D1141" s="15" t="s">
        <v>96</v>
      </c>
      <c r="E1141" s="15" t="s">
        <v>66</v>
      </c>
      <c r="F1141" s="15" t="s">
        <v>67</v>
      </c>
      <c r="G1141" s="15" t="s">
        <v>74</v>
      </c>
      <c r="H1141" s="15" t="s">
        <v>71</v>
      </c>
      <c r="I1141" s="16">
        <v>189115</v>
      </c>
      <c r="J1141" s="16">
        <v>162469</v>
      </c>
      <c r="K1141" s="16">
        <v>182573</v>
      </c>
      <c r="L1141" s="17">
        <v>1194.7</v>
      </c>
      <c r="M1141" s="17">
        <v>170.1</v>
      </c>
      <c r="N1141" s="17">
        <f t="shared" si="51"/>
        <v>1024.6000000000001</v>
      </c>
      <c r="O1141" s="17">
        <v>815.4</v>
      </c>
      <c r="P1141" s="17">
        <v>973.7</v>
      </c>
      <c r="Q1141" s="17">
        <v>628.29999999999995</v>
      </c>
      <c r="R1141" s="17">
        <f t="shared" si="52"/>
        <v>396.30000000000018</v>
      </c>
      <c r="S1141" s="17">
        <v>504.3</v>
      </c>
      <c r="T1141" s="17">
        <f t="shared" si="53"/>
        <v>311.09999999999997</v>
      </c>
    </row>
    <row r="1142" spans="1:20" x14ac:dyDescent="0.35">
      <c r="A1142" s="14" t="s">
        <v>103</v>
      </c>
      <c r="B1142" s="15" t="s">
        <v>104</v>
      </c>
      <c r="C1142" s="15" t="s">
        <v>93</v>
      </c>
      <c r="D1142" s="15" t="s">
        <v>96</v>
      </c>
      <c r="E1142" s="15" t="s">
        <v>66</v>
      </c>
      <c r="F1142" s="15" t="s">
        <v>67</v>
      </c>
      <c r="G1142" s="15" t="s">
        <v>75</v>
      </c>
      <c r="H1142" s="15" t="s">
        <v>71</v>
      </c>
      <c r="I1142" s="16">
        <v>147120</v>
      </c>
      <c r="J1142" s="16">
        <v>126722</v>
      </c>
      <c r="K1142" s="16">
        <v>142924</v>
      </c>
      <c r="L1142" s="17">
        <v>927</v>
      </c>
      <c r="M1142" s="17">
        <v>134.9</v>
      </c>
      <c r="N1142" s="17">
        <f t="shared" si="51"/>
        <v>792.1</v>
      </c>
      <c r="O1142" s="17">
        <v>627.4</v>
      </c>
      <c r="P1142" s="17">
        <v>757.6</v>
      </c>
      <c r="Q1142" s="17">
        <v>493</v>
      </c>
      <c r="R1142" s="17">
        <f t="shared" si="52"/>
        <v>299.10000000000002</v>
      </c>
      <c r="S1142" s="17">
        <v>394.5</v>
      </c>
      <c r="T1142" s="17">
        <f t="shared" si="53"/>
        <v>232.89999999999998</v>
      </c>
    </row>
    <row r="1143" spans="1:20" x14ac:dyDescent="0.35">
      <c r="A1143" s="14" t="s">
        <v>103</v>
      </c>
      <c r="B1143" s="15" t="s">
        <v>104</v>
      </c>
      <c r="C1143" s="15" t="s">
        <v>93</v>
      </c>
      <c r="D1143" s="15" t="s">
        <v>96</v>
      </c>
      <c r="E1143" s="15" t="s">
        <v>66</v>
      </c>
      <c r="F1143" s="15" t="s">
        <v>67</v>
      </c>
      <c r="G1143" s="15" t="s">
        <v>76</v>
      </c>
      <c r="H1143" s="15" t="s">
        <v>72</v>
      </c>
      <c r="I1143" s="16">
        <v>41627</v>
      </c>
      <c r="J1143" s="16">
        <v>35519</v>
      </c>
      <c r="K1143" s="16">
        <v>40024</v>
      </c>
      <c r="L1143" s="17">
        <v>432</v>
      </c>
      <c r="M1143" s="17">
        <v>56.1</v>
      </c>
      <c r="N1143" s="17">
        <f t="shared" si="51"/>
        <v>375.9</v>
      </c>
      <c r="O1143" s="17">
        <v>295.39999999999998</v>
      </c>
      <c r="P1143" s="17">
        <v>362.4</v>
      </c>
      <c r="Q1143" s="17">
        <v>231.2</v>
      </c>
      <c r="R1143" s="17">
        <f t="shared" si="52"/>
        <v>144.69999999999999</v>
      </c>
      <c r="S1143" s="17">
        <v>183.4</v>
      </c>
      <c r="T1143" s="17">
        <f t="shared" si="53"/>
        <v>111.99999999999997</v>
      </c>
    </row>
    <row r="1144" spans="1:20" x14ac:dyDescent="0.35">
      <c r="A1144" s="14" t="s">
        <v>103</v>
      </c>
      <c r="B1144" s="15" t="s">
        <v>104</v>
      </c>
      <c r="C1144" s="15" t="s">
        <v>93</v>
      </c>
      <c r="D1144" s="15" t="s">
        <v>96</v>
      </c>
      <c r="E1144" s="15" t="s">
        <v>66</v>
      </c>
      <c r="F1144" s="15" t="s">
        <v>79</v>
      </c>
      <c r="G1144" s="15" t="s">
        <v>95</v>
      </c>
      <c r="H1144" s="15" t="s">
        <v>71</v>
      </c>
      <c r="I1144" s="16">
        <v>150211</v>
      </c>
      <c r="J1144" s="16">
        <v>126299</v>
      </c>
      <c r="K1144" s="16">
        <v>146257</v>
      </c>
      <c r="L1144" s="17">
        <v>577.79999999999995</v>
      </c>
      <c r="M1144" s="17">
        <v>78.2</v>
      </c>
      <c r="N1144" s="17">
        <f t="shared" si="51"/>
        <v>499.59999999999997</v>
      </c>
      <c r="O1144" s="17">
        <v>385.4</v>
      </c>
      <c r="P1144" s="17">
        <v>475.7</v>
      </c>
      <c r="Q1144" s="17">
        <v>295</v>
      </c>
      <c r="R1144" s="17">
        <f t="shared" si="52"/>
        <v>204.59999999999997</v>
      </c>
      <c r="S1144" s="17">
        <v>229.6</v>
      </c>
      <c r="T1144" s="17">
        <f t="shared" si="53"/>
        <v>155.79999999999998</v>
      </c>
    </row>
    <row r="1145" spans="1:20" x14ac:dyDescent="0.35">
      <c r="A1145" s="14" t="s">
        <v>103</v>
      </c>
      <c r="B1145" s="15" t="s">
        <v>104</v>
      </c>
      <c r="C1145" s="15" t="s">
        <v>93</v>
      </c>
      <c r="D1145" s="15" t="s">
        <v>96</v>
      </c>
      <c r="E1145" s="15" t="s">
        <v>66</v>
      </c>
      <c r="F1145" s="15" t="s">
        <v>81</v>
      </c>
      <c r="G1145" s="15" t="s">
        <v>82</v>
      </c>
      <c r="H1145" s="15" t="s">
        <v>71</v>
      </c>
      <c r="I1145" s="16">
        <v>45348</v>
      </c>
      <c r="J1145" s="16">
        <v>38053</v>
      </c>
      <c r="K1145" s="16">
        <v>43728</v>
      </c>
      <c r="L1145" s="17">
        <v>368.8</v>
      </c>
      <c r="M1145" s="17">
        <v>48</v>
      </c>
      <c r="N1145" s="17">
        <f t="shared" si="51"/>
        <v>320.8</v>
      </c>
      <c r="O1145" s="17">
        <v>247.3</v>
      </c>
      <c r="P1145" s="17">
        <v>305.39999999999998</v>
      </c>
      <c r="Q1145" s="17">
        <v>203.2</v>
      </c>
      <c r="R1145" s="17">
        <f t="shared" si="52"/>
        <v>117.60000000000002</v>
      </c>
      <c r="S1145" s="17">
        <v>157.80000000000001</v>
      </c>
      <c r="T1145" s="17">
        <f t="shared" si="53"/>
        <v>89.5</v>
      </c>
    </row>
    <row r="1146" spans="1:20" x14ac:dyDescent="0.35">
      <c r="A1146" s="14" t="s">
        <v>103</v>
      </c>
      <c r="B1146" s="15" t="s">
        <v>104</v>
      </c>
      <c r="C1146" s="15" t="s">
        <v>93</v>
      </c>
      <c r="D1146" s="15" t="s">
        <v>96</v>
      </c>
      <c r="E1146" s="15" t="s">
        <v>66</v>
      </c>
      <c r="F1146" s="15" t="s">
        <v>83</v>
      </c>
      <c r="G1146" s="15" t="s">
        <v>84</v>
      </c>
      <c r="H1146" s="15" t="s">
        <v>72</v>
      </c>
      <c r="I1146" s="16">
        <v>41935</v>
      </c>
      <c r="J1146" s="16">
        <v>32104</v>
      </c>
      <c r="K1146" s="16">
        <v>40505</v>
      </c>
      <c r="L1146" s="17">
        <v>1065.8</v>
      </c>
      <c r="M1146" s="17">
        <v>153.5</v>
      </c>
      <c r="N1146" s="17">
        <f t="shared" si="51"/>
        <v>912.3</v>
      </c>
      <c r="O1146" s="17">
        <v>651.4</v>
      </c>
      <c r="P1146" s="17">
        <v>870.5</v>
      </c>
      <c r="Q1146" s="17">
        <v>539.20000000000005</v>
      </c>
      <c r="R1146" s="17">
        <f t="shared" si="52"/>
        <v>373.09999999999991</v>
      </c>
      <c r="S1146" s="17">
        <v>391.3</v>
      </c>
      <c r="T1146" s="17">
        <f t="shared" si="53"/>
        <v>260.09999999999997</v>
      </c>
    </row>
    <row r="1147" spans="1:20" x14ac:dyDescent="0.35">
      <c r="A1147" s="14" t="s">
        <v>103</v>
      </c>
      <c r="B1147" s="15" t="s">
        <v>104</v>
      </c>
      <c r="C1147" s="15" t="s">
        <v>93</v>
      </c>
      <c r="D1147" s="15" t="s">
        <v>96</v>
      </c>
      <c r="E1147" s="15" t="s">
        <v>89</v>
      </c>
      <c r="F1147" s="15" t="s">
        <v>67</v>
      </c>
      <c r="G1147" s="15" t="s">
        <v>68</v>
      </c>
      <c r="H1147" s="15" t="s">
        <v>69</v>
      </c>
      <c r="I1147" s="16">
        <v>919365</v>
      </c>
      <c r="J1147" s="16">
        <v>831436</v>
      </c>
      <c r="K1147" s="16">
        <v>890558</v>
      </c>
      <c r="L1147" s="17">
        <v>3847.9</v>
      </c>
      <c r="M1147" s="17">
        <v>305.39999999999998</v>
      </c>
      <c r="N1147" s="17">
        <f t="shared" si="51"/>
        <v>3542.5</v>
      </c>
      <c r="O1147" s="17">
        <v>2981.3</v>
      </c>
      <c r="P1147" s="17">
        <v>3408.2</v>
      </c>
      <c r="Q1147" s="17">
        <v>1943</v>
      </c>
      <c r="R1147" s="17">
        <f t="shared" si="52"/>
        <v>1599.5</v>
      </c>
      <c r="S1147" s="17">
        <v>1671.7</v>
      </c>
      <c r="T1147" s="17">
        <f t="shared" si="53"/>
        <v>1309.6000000000001</v>
      </c>
    </row>
    <row r="1148" spans="1:20" x14ac:dyDescent="0.35">
      <c r="A1148" s="14" t="s">
        <v>103</v>
      </c>
      <c r="B1148" s="15" t="s">
        <v>104</v>
      </c>
      <c r="C1148" s="15" t="s">
        <v>93</v>
      </c>
      <c r="D1148" s="15" t="s">
        <v>96</v>
      </c>
      <c r="E1148" s="15" t="s">
        <v>89</v>
      </c>
      <c r="F1148" s="15" t="s">
        <v>67</v>
      </c>
      <c r="G1148" s="15" t="s">
        <v>68</v>
      </c>
      <c r="H1148" s="15" t="s">
        <v>70</v>
      </c>
      <c r="I1148" s="16">
        <v>640535</v>
      </c>
      <c r="J1148" s="16">
        <v>556794</v>
      </c>
      <c r="K1148" s="16">
        <v>623307</v>
      </c>
      <c r="L1148" s="17">
        <v>3071.1</v>
      </c>
      <c r="M1148" s="17">
        <v>214</v>
      </c>
      <c r="N1148" s="17">
        <f t="shared" si="51"/>
        <v>2857.1</v>
      </c>
      <c r="O1148" s="17">
        <v>2317.1999999999998</v>
      </c>
      <c r="P1148" s="17">
        <v>2746.7</v>
      </c>
      <c r="Q1148" s="17">
        <v>1630.7</v>
      </c>
      <c r="R1148" s="17">
        <f t="shared" si="52"/>
        <v>1226.3999999999999</v>
      </c>
      <c r="S1148" s="17">
        <v>1353</v>
      </c>
      <c r="T1148" s="17">
        <f t="shared" si="53"/>
        <v>964.19999999999982</v>
      </c>
    </row>
    <row r="1149" spans="1:20" x14ac:dyDescent="0.35">
      <c r="A1149" s="14" t="s">
        <v>103</v>
      </c>
      <c r="B1149" s="15" t="s">
        <v>104</v>
      </c>
      <c r="C1149" s="15" t="s">
        <v>93</v>
      </c>
      <c r="D1149" s="15" t="s">
        <v>96</v>
      </c>
      <c r="E1149" s="15" t="s">
        <v>89</v>
      </c>
      <c r="F1149" s="15" t="s">
        <v>67</v>
      </c>
      <c r="G1149" s="15" t="s">
        <v>68</v>
      </c>
      <c r="H1149" s="15" t="s">
        <v>71</v>
      </c>
      <c r="I1149" s="16">
        <v>555432</v>
      </c>
      <c r="J1149" s="16">
        <v>488674</v>
      </c>
      <c r="K1149" s="16">
        <v>538279</v>
      </c>
      <c r="L1149" s="17">
        <v>3460.6</v>
      </c>
      <c r="M1149" s="17">
        <v>221.3</v>
      </c>
      <c r="N1149" s="17">
        <f t="shared" si="51"/>
        <v>3239.2999999999997</v>
      </c>
      <c r="O1149" s="17">
        <v>2625</v>
      </c>
      <c r="P1149" s="17">
        <v>3074.6</v>
      </c>
      <c r="Q1149" s="17">
        <v>1960.7</v>
      </c>
      <c r="R1149" s="17">
        <f t="shared" si="52"/>
        <v>1278.5999999999997</v>
      </c>
      <c r="S1149" s="17">
        <v>1617.8</v>
      </c>
      <c r="T1149" s="17">
        <f t="shared" si="53"/>
        <v>1007.2</v>
      </c>
    </row>
    <row r="1150" spans="1:20" x14ac:dyDescent="0.35">
      <c r="A1150" s="14" t="s">
        <v>103</v>
      </c>
      <c r="B1150" s="15" t="s">
        <v>104</v>
      </c>
      <c r="C1150" s="15" t="s">
        <v>93</v>
      </c>
      <c r="D1150" s="15" t="s">
        <v>96</v>
      </c>
      <c r="E1150" s="15" t="s">
        <v>89</v>
      </c>
      <c r="F1150" s="15" t="s">
        <v>67</v>
      </c>
      <c r="G1150" s="15" t="s">
        <v>68</v>
      </c>
      <c r="H1150" s="15" t="s">
        <v>72</v>
      </c>
      <c r="I1150" s="16">
        <v>123033</v>
      </c>
      <c r="J1150" s="16">
        <v>108311</v>
      </c>
      <c r="K1150" s="16">
        <v>119700</v>
      </c>
      <c r="L1150" s="17">
        <v>1021.3</v>
      </c>
      <c r="M1150" s="17">
        <v>74.900000000000006</v>
      </c>
      <c r="N1150" s="17">
        <f t="shared" si="51"/>
        <v>946.4</v>
      </c>
      <c r="O1150" s="17">
        <v>771.2</v>
      </c>
      <c r="P1150" s="17">
        <v>899.9</v>
      </c>
      <c r="Q1150" s="17">
        <v>610.70000000000005</v>
      </c>
      <c r="R1150" s="17">
        <f t="shared" si="52"/>
        <v>335.69999999999993</v>
      </c>
      <c r="S1150" s="17">
        <v>500.8</v>
      </c>
      <c r="T1150" s="17">
        <f t="shared" si="53"/>
        <v>270.40000000000003</v>
      </c>
    </row>
    <row r="1151" spans="1:20" x14ac:dyDescent="0.35">
      <c r="A1151" s="14" t="s">
        <v>103</v>
      </c>
      <c r="B1151" s="15" t="s">
        <v>104</v>
      </c>
      <c r="C1151" s="15" t="s">
        <v>93</v>
      </c>
      <c r="D1151" s="15" t="s">
        <v>96</v>
      </c>
      <c r="E1151" s="15" t="s">
        <v>89</v>
      </c>
      <c r="F1151" s="15" t="s">
        <v>67</v>
      </c>
      <c r="G1151" s="15" t="s">
        <v>73</v>
      </c>
      <c r="H1151" s="15" t="s">
        <v>71</v>
      </c>
      <c r="I1151" s="16">
        <v>149625</v>
      </c>
      <c r="J1151" s="16">
        <v>120925</v>
      </c>
      <c r="K1151" s="16">
        <v>145248</v>
      </c>
      <c r="L1151" s="17">
        <v>917.5</v>
      </c>
      <c r="M1151" s="17">
        <v>58.4</v>
      </c>
      <c r="N1151" s="17">
        <f t="shared" si="51"/>
        <v>859.1</v>
      </c>
      <c r="O1151" s="17">
        <v>638.9</v>
      </c>
      <c r="P1151" s="17">
        <v>821.4</v>
      </c>
      <c r="Q1151" s="17">
        <v>523.29999999999995</v>
      </c>
      <c r="R1151" s="17">
        <f t="shared" si="52"/>
        <v>335.80000000000007</v>
      </c>
      <c r="S1151" s="17">
        <v>395.9</v>
      </c>
      <c r="T1151" s="17">
        <f t="shared" si="53"/>
        <v>243</v>
      </c>
    </row>
    <row r="1152" spans="1:20" x14ac:dyDescent="0.35">
      <c r="A1152" s="14" t="s">
        <v>103</v>
      </c>
      <c r="B1152" s="15" t="s">
        <v>104</v>
      </c>
      <c r="C1152" s="15" t="s">
        <v>93</v>
      </c>
      <c r="D1152" s="15" t="s">
        <v>96</v>
      </c>
      <c r="E1152" s="15" t="s">
        <v>89</v>
      </c>
      <c r="F1152" s="15" t="s">
        <v>67</v>
      </c>
      <c r="G1152" s="15" t="s">
        <v>73</v>
      </c>
      <c r="H1152" s="15" t="s">
        <v>72</v>
      </c>
      <c r="I1152" s="16">
        <v>41796</v>
      </c>
      <c r="J1152" s="16">
        <v>33791</v>
      </c>
      <c r="K1152" s="16">
        <v>40209</v>
      </c>
      <c r="L1152" s="17">
        <v>345.1</v>
      </c>
      <c r="M1152" s="17">
        <v>25.8</v>
      </c>
      <c r="N1152" s="17">
        <f t="shared" si="51"/>
        <v>319.3</v>
      </c>
      <c r="O1152" s="17">
        <v>240.2</v>
      </c>
      <c r="P1152" s="17">
        <v>307.3</v>
      </c>
      <c r="Q1152" s="17">
        <v>202.5</v>
      </c>
      <c r="R1152" s="17">
        <f t="shared" si="52"/>
        <v>116.80000000000001</v>
      </c>
      <c r="S1152" s="17">
        <v>155.4</v>
      </c>
      <c r="T1152" s="17">
        <f t="shared" si="53"/>
        <v>84.799999999999983</v>
      </c>
    </row>
    <row r="1153" spans="1:20" x14ac:dyDescent="0.35">
      <c r="A1153" s="14" t="s">
        <v>103</v>
      </c>
      <c r="B1153" s="15" t="s">
        <v>104</v>
      </c>
      <c r="C1153" s="15" t="s">
        <v>93</v>
      </c>
      <c r="D1153" s="15" t="s">
        <v>96</v>
      </c>
      <c r="E1153" s="15" t="s">
        <v>89</v>
      </c>
      <c r="F1153" s="15" t="s">
        <v>67</v>
      </c>
      <c r="G1153" s="15" t="s">
        <v>74</v>
      </c>
      <c r="H1153" s="15" t="s">
        <v>70</v>
      </c>
      <c r="I1153" s="16">
        <v>229006</v>
      </c>
      <c r="J1153" s="16">
        <v>194997</v>
      </c>
      <c r="K1153" s="16">
        <v>222847</v>
      </c>
      <c r="L1153" s="17">
        <v>1104.4000000000001</v>
      </c>
      <c r="M1153" s="17">
        <v>74.2</v>
      </c>
      <c r="N1153" s="17">
        <f t="shared" si="51"/>
        <v>1030.2</v>
      </c>
      <c r="O1153" s="17">
        <v>816.4</v>
      </c>
      <c r="P1153" s="17">
        <v>980.8</v>
      </c>
      <c r="Q1153" s="17">
        <v>587.79999999999995</v>
      </c>
      <c r="R1153" s="17">
        <f t="shared" si="52"/>
        <v>442.40000000000009</v>
      </c>
      <c r="S1153" s="17">
        <v>476.1</v>
      </c>
      <c r="T1153" s="17">
        <f t="shared" si="53"/>
        <v>340.29999999999995</v>
      </c>
    </row>
    <row r="1154" spans="1:20" x14ac:dyDescent="0.35">
      <c r="A1154" s="14" t="s">
        <v>103</v>
      </c>
      <c r="B1154" s="15" t="s">
        <v>104</v>
      </c>
      <c r="C1154" s="15" t="s">
        <v>93</v>
      </c>
      <c r="D1154" s="15" t="s">
        <v>96</v>
      </c>
      <c r="E1154" s="15" t="s">
        <v>89</v>
      </c>
      <c r="F1154" s="15" t="s">
        <v>67</v>
      </c>
      <c r="G1154" s="15" t="s">
        <v>74</v>
      </c>
      <c r="H1154" s="15" t="s">
        <v>71</v>
      </c>
      <c r="I1154" s="16">
        <v>210917</v>
      </c>
      <c r="J1154" s="16">
        <v>184147</v>
      </c>
      <c r="K1154" s="16">
        <v>203695</v>
      </c>
      <c r="L1154" s="17">
        <v>1251.7</v>
      </c>
      <c r="M1154" s="17">
        <v>87.7</v>
      </c>
      <c r="N1154" s="17">
        <f t="shared" si="51"/>
        <v>1164</v>
      </c>
      <c r="O1154" s="17">
        <v>942.9</v>
      </c>
      <c r="P1154" s="17">
        <v>1108.3</v>
      </c>
      <c r="Q1154" s="17">
        <v>714</v>
      </c>
      <c r="R1154" s="17">
        <f t="shared" si="52"/>
        <v>450</v>
      </c>
      <c r="S1154" s="17">
        <v>590.9</v>
      </c>
      <c r="T1154" s="17">
        <f t="shared" si="53"/>
        <v>352</v>
      </c>
    </row>
    <row r="1155" spans="1:20" x14ac:dyDescent="0.35">
      <c r="A1155" s="14" t="s">
        <v>103</v>
      </c>
      <c r="B1155" s="15" t="s">
        <v>104</v>
      </c>
      <c r="C1155" s="15" t="s">
        <v>93</v>
      </c>
      <c r="D1155" s="15" t="s">
        <v>96</v>
      </c>
      <c r="E1155" s="15" t="s">
        <v>89</v>
      </c>
      <c r="F1155" s="15" t="s">
        <v>67</v>
      </c>
      <c r="G1155" s="15" t="s">
        <v>75</v>
      </c>
      <c r="H1155" s="15" t="s">
        <v>71</v>
      </c>
      <c r="I1155" s="16">
        <v>168646</v>
      </c>
      <c r="J1155" s="16">
        <v>148255</v>
      </c>
      <c r="K1155" s="16">
        <v>161979</v>
      </c>
      <c r="L1155" s="17">
        <v>988.2</v>
      </c>
      <c r="M1155" s="17">
        <v>67.099999999999994</v>
      </c>
      <c r="N1155" s="17">
        <f t="shared" si="51"/>
        <v>921.1</v>
      </c>
      <c r="O1155" s="17">
        <v>743</v>
      </c>
      <c r="P1155" s="17">
        <v>880.9</v>
      </c>
      <c r="Q1155" s="17">
        <v>566.4</v>
      </c>
      <c r="R1155" s="17">
        <f t="shared" si="52"/>
        <v>354.70000000000005</v>
      </c>
      <c r="S1155" s="17">
        <v>460.4</v>
      </c>
      <c r="T1155" s="17">
        <f t="shared" si="53"/>
        <v>282.60000000000002</v>
      </c>
    </row>
    <row r="1156" spans="1:20" x14ac:dyDescent="0.35">
      <c r="A1156" s="14" t="s">
        <v>103</v>
      </c>
      <c r="B1156" s="15" t="s">
        <v>104</v>
      </c>
      <c r="C1156" s="15" t="s">
        <v>93</v>
      </c>
      <c r="D1156" s="15" t="s">
        <v>96</v>
      </c>
      <c r="E1156" s="15" t="s">
        <v>89</v>
      </c>
      <c r="F1156" s="15" t="s">
        <v>67</v>
      </c>
      <c r="G1156" s="15" t="s">
        <v>76</v>
      </c>
      <c r="H1156" s="15" t="s">
        <v>72</v>
      </c>
      <c r="I1156" s="16">
        <v>31171</v>
      </c>
      <c r="J1156" s="16">
        <v>26905</v>
      </c>
      <c r="K1156" s="16">
        <v>30238</v>
      </c>
      <c r="L1156" s="17">
        <v>302.60000000000002</v>
      </c>
      <c r="M1156" s="17">
        <v>20.6</v>
      </c>
      <c r="N1156" s="17">
        <f t="shared" ref="N1156:N1219" si="54">L1156-M1156</f>
        <v>282</v>
      </c>
      <c r="O1156" s="17">
        <v>223.5</v>
      </c>
      <c r="P1156" s="17">
        <v>269.39999999999998</v>
      </c>
      <c r="Q1156" s="17">
        <v>176.4</v>
      </c>
      <c r="R1156" s="17">
        <f t="shared" ref="R1156:R1219" si="55">N1156-Q1156</f>
        <v>105.6</v>
      </c>
      <c r="S1156" s="17">
        <v>140.80000000000001</v>
      </c>
      <c r="T1156" s="17">
        <f t="shared" ref="T1156:T1219" si="56">O1156-S1156</f>
        <v>82.699999999999989</v>
      </c>
    </row>
    <row r="1157" spans="1:20" x14ac:dyDescent="0.35">
      <c r="A1157" s="14" t="s">
        <v>103</v>
      </c>
      <c r="B1157" s="15" t="s">
        <v>104</v>
      </c>
      <c r="C1157" s="15" t="s">
        <v>93</v>
      </c>
      <c r="D1157" s="15" t="s">
        <v>96</v>
      </c>
      <c r="E1157" s="15" t="s">
        <v>89</v>
      </c>
      <c r="F1157" s="15" t="s">
        <v>79</v>
      </c>
      <c r="G1157" s="15" t="s">
        <v>95</v>
      </c>
      <c r="H1157" s="15" t="s">
        <v>71</v>
      </c>
      <c r="I1157" s="16">
        <v>178774</v>
      </c>
      <c r="J1157" s="16">
        <v>155354</v>
      </c>
      <c r="K1157" s="16">
        <v>174044</v>
      </c>
      <c r="L1157" s="17">
        <v>666.4</v>
      </c>
      <c r="M1157" s="17">
        <v>47</v>
      </c>
      <c r="N1157" s="17">
        <f t="shared" si="54"/>
        <v>619.4</v>
      </c>
      <c r="O1157" s="17">
        <v>494.3</v>
      </c>
      <c r="P1157" s="17">
        <v>587.1</v>
      </c>
      <c r="Q1157" s="17">
        <v>378.5</v>
      </c>
      <c r="R1157" s="17">
        <f t="shared" si="55"/>
        <v>240.89999999999998</v>
      </c>
      <c r="S1157" s="17">
        <v>305.7</v>
      </c>
      <c r="T1157" s="17">
        <f t="shared" si="56"/>
        <v>188.60000000000002</v>
      </c>
    </row>
    <row r="1158" spans="1:20" x14ac:dyDescent="0.35">
      <c r="A1158" s="14" t="s">
        <v>103</v>
      </c>
      <c r="B1158" s="15" t="s">
        <v>104</v>
      </c>
      <c r="C1158" s="15" t="s">
        <v>93</v>
      </c>
      <c r="D1158" s="15" t="s">
        <v>96</v>
      </c>
      <c r="E1158" s="15" t="s">
        <v>89</v>
      </c>
      <c r="F1158" s="15" t="s">
        <v>81</v>
      </c>
      <c r="G1158" s="15" t="s">
        <v>82</v>
      </c>
      <c r="H1158" s="15" t="s">
        <v>71</v>
      </c>
      <c r="I1158" s="16">
        <v>55544</v>
      </c>
      <c r="J1158" s="16">
        <v>47625</v>
      </c>
      <c r="K1158" s="16">
        <v>53636</v>
      </c>
      <c r="L1158" s="17">
        <v>456.9</v>
      </c>
      <c r="M1158" s="17">
        <v>34.9</v>
      </c>
      <c r="N1158" s="17">
        <f t="shared" si="54"/>
        <v>422</v>
      </c>
      <c r="O1158" s="17">
        <v>338.2</v>
      </c>
      <c r="P1158" s="17">
        <v>404.1</v>
      </c>
      <c r="Q1158" s="17">
        <v>260.5</v>
      </c>
      <c r="R1158" s="17">
        <f t="shared" si="55"/>
        <v>161.5</v>
      </c>
      <c r="S1158" s="17">
        <v>212.4</v>
      </c>
      <c r="T1158" s="17">
        <f t="shared" si="56"/>
        <v>125.79999999999998</v>
      </c>
    </row>
    <row r="1159" spans="1:20" x14ac:dyDescent="0.35">
      <c r="A1159" s="14" t="s">
        <v>103</v>
      </c>
      <c r="B1159" s="15" t="s">
        <v>104</v>
      </c>
      <c r="C1159" s="15" t="s">
        <v>93</v>
      </c>
      <c r="D1159" s="15" t="s">
        <v>96</v>
      </c>
      <c r="E1159" s="15" t="s">
        <v>89</v>
      </c>
      <c r="F1159" s="15" t="s">
        <v>83</v>
      </c>
      <c r="G1159" s="15" t="s">
        <v>84</v>
      </c>
      <c r="H1159" s="15" t="s">
        <v>72</v>
      </c>
      <c r="I1159" s="16">
        <v>25413</v>
      </c>
      <c r="J1159" s="16">
        <v>19744</v>
      </c>
      <c r="K1159" s="16">
        <v>24378</v>
      </c>
      <c r="L1159" s="17">
        <v>635.5</v>
      </c>
      <c r="M1159" s="17">
        <v>42.2</v>
      </c>
      <c r="N1159" s="17">
        <f t="shared" si="54"/>
        <v>593.29999999999995</v>
      </c>
      <c r="O1159" s="17">
        <v>426.6</v>
      </c>
      <c r="P1159" s="17">
        <v>572.5</v>
      </c>
      <c r="Q1159" s="17">
        <v>342.4</v>
      </c>
      <c r="R1159" s="17">
        <f t="shared" si="55"/>
        <v>250.89999999999998</v>
      </c>
      <c r="S1159" s="17">
        <v>249.3</v>
      </c>
      <c r="T1159" s="17">
        <f t="shared" si="56"/>
        <v>177.3</v>
      </c>
    </row>
    <row r="1160" spans="1:20" x14ac:dyDescent="0.35">
      <c r="A1160" s="14" t="s">
        <v>103</v>
      </c>
      <c r="B1160" s="15" t="s">
        <v>104</v>
      </c>
      <c r="C1160" s="15" t="s">
        <v>93</v>
      </c>
      <c r="D1160" s="15" t="s">
        <v>96</v>
      </c>
      <c r="E1160" s="15" t="s">
        <v>90</v>
      </c>
      <c r="F1160" s="15" t="s">
        <v>67</v>
      </c>
      <c r="G1160" s="15" t="s">
        <v>68</v>
      </c>
      <c r="H1160" s="15" t="s">
        <v>69</v>
      </c>
      <c r="I1160" s="16">
        <v>301248</v>
      </c>
      <c r="J1160" s="16">
        <v>273377</v>
      </c>
      <c r="K1160" s="16">
        <v>289745</v>
      </c>
      <c r="L1160" s="17">
        <v>1139.2</v>
      </c>
      <c r="M1160" s="17">
        <v>122.6</v>
      </c>
      <c r="N1160" s="17">
        <f t="shared" si="54"/>
        <v>1016.6</v>
      </c>
      <c r="O1160" s="17">
        <v>848</v>
      </c>
      <c r="P1160" s="17">
        <v>977.4</v>
      </c>
      <c r="Q1160" s="17">
        <v>561.79999999999995</v>
      </c>
      <c r="R1160" s="17">
        <f t="shared" si="55"/>
        <v>454.80000000000007</v>
      </c>
      <c r="S1160" s="17">
        <v>473.5</v>
      </c>
      <c r="T1160" s="17">
        <f t="shared" si="56"/>
        <v>374.5</v>
      </c>
    </row>
    <row r="1161" spans="1:20" x14ac:dyDescent="0.35">
      <c r="A1161" s="14" t="s">
        <v>103</v>
      </c>
      <c r="B1161" s="15" t="s">
        <v>104</v>
      </c>
      <c r="C1161" s="15" t="s">
        <v>93</v>
      </c>
      <c r="D1161" s="15" t="s">
        <v>96</v>
      </c>
      <c r="E1161" s="15" t="s">
        <v>90</v>
      </c>
      <c r="F1161" s="15" t="s">
        <v>67</v>
      </c>
      <c r="G1161" s="15" t="s">
        <v>68</v>
      </c>
      <c r="H1161" s="15" t="s">
        <v>70</v>
      </c>
      <c r="I1161" s="16">
        <v>222205</v>
      </c>
      <c r="J1161" s="16">
        <v>195362</v>
      </c>
      <c r="K1161" s="16">
        <v>213452</v>
      </c>
      <c r="L1161" s="17">
        <v>1004.9</v>
      </c>
      <c r="M1161" s="17">
        <v>120.5</v>
      </c>
      <c r="N1161" s="17">
        <f t="shared" si="54"/>
        <v>884.4</v>
      </c>
      <c r="O1161" s="17">
        <v>725.7</v>
      </c>
      <c r="P1161" s="17">
        <v>848.1</v>
      </c>
      <c r="Q1161" s="17">
        <v>503</v>
      </c>
      <c r="R1161" s="17">
        <f t="shared" si="55"/>
        <v>381.4</v>
      </c>
      <c r="S1161" s="17">
        <v>419.9</v>
      </c>
      <c r="T1161" s="17">
        <f t="shared" si="56"/>
        <v>305.80000000000007</v>
      </c>
    </row>
    <row r="1162" spans="1:20" x14ac:dyDescent="0.35">
      <c r="A1162" s="14" t="s">
        <v>103</v>
      </c>
      <c r="B1162" s="15" t="s">
        <v>104</v>
      </c>
      <c r="C1162" s="15" t="s">
        <v>93</v>
      </c>
      <c r="D1162" s="15" t="s">
        <v>96</v>
      </c>
      <c r="E1162" s="15" t="s">
        <v>90</v>
      </c>
      <c r="F1162" s="15" t="s">
        <v>67</v>
      </c>
      <c r="G1162" s="15" t="s">
        <v>68</v>
      </c>
      <c r="H1162" s="15" t="s">
        <v>71</v>
      </c>
      <c r="I1162" s="16">
        <v>318382</v>
      </c>
      <c r="J1162" s="16">
        <v>285416</v>
      </c>
      <c r="K1162" s="16">
        <v>307522</v>
      </c>
      <c r="L1162" s="17">
        <v>1833.6</v>
      </c>
      <c r="M1162" s="17">
        <v>219.1</v>
      </c>
      <c r="N1162" s="17">
        <f t="shared" si="54"/>
        <v>1614.5</v>
      </c>
      <c r="O1162" s="17">
        <v>1333.5</v>
      </c>
      <c r="P1162" s="17">
        <v>1533.7</v>
      </c>
      <c r="Q1162" s="17">
        <v>1020.8</v>
      </c>
      <c r="R1162" s="17">
        <f t="shared" si="55"/>
        <v>593.70000000000005</v>
      </c>
      <c r="S1162" s="17">
        <v>860.6</v>
      </c>
      <c r="T1162" s="17">
        <f t="shared" si="56"/>
        <v>472.9</v>
      </c>
    </row>
    <row r="1163" spans="1:20" x14ac:dyDescent="0.35">
      <c r="A1163" s="14" t="s">
        <v>103</v>
      </c>
      <c r="B1163" s="15" t="s">
        <v>104</v>
      </c>
      <c r="C1163" s="15" t="s">
        <v>93</v>
      </c>
      <c r="D1163" s="15" t="s">
        <v>96</v>
      </c>
      <c r="E1163" s="15" t="s">
        <v>90</v>
      </c>
      <c r="F1163" s="15" t="s">
        <v>67</v>
      </c>
      <c r="G1163" s="15" t="s">
        <v>68</v>
      </c>
      <c r="H1163" s="15" t="s">
        <v>72</v>
      </c>
      <c r="I1163" s="16">
        <v>83345</v>
      </c>
      <c r="J1163" s="16">
        <v>72929</v>
      </c>
      <c r="K1163" s="16">
        <v>80811</v>
      </c>
      <c r="L1163" s="17">
        <v>627</v>
      </c>
      <c r="M1163" s="17">
        <v>74.599999999999994</v>
      </c>
      <c r="N1163" s="17">
        <f t="shared" si="54"/>
        <v>552.4</v>
      </c>
      <c r="O1163" s="17">
        <v>450.7</v>
      </c>
      <c r="P1163" s="17">
        <v>528.20000000000005</v>
      </c>
      <c r="Q1163" s="17">
        <v>347.2</v>
      </c>
      <c r="R1163" s="17">
        <f t="shared" si="55"/>
        <v>205.2</v>
      </c>
      <c r="S1163" s="17">
        <v>285.89999999999998</v>
      </c>
      <c r="T1163" s="17">
        <f t="shared" si="56"/>
        <v>164.8</v>
      </c>
    </row>
    <row r="1164" spans="1:20" x14ac:dyDescent="0.35">
      <c r="A1164" s="14" t="s">
        <v>103</v>
      </c>
      <c r="B1164" s="15" t="s">
        <v>104</v>
      </c>
      <c r="C1164" s="15" t="s">
        <v>93</v>
      </c>
      <c r="D1164" s="15" t="s">
        <v>96</v>
      </c>
      <c r="E1164" s="15" t="s">
        <v>90</v>
      </c>
      <c r="F1164" s="15" t="s">
        <v>67</v>
      </c>
      <c r="G1164" s="15" t="s">
        <v>73</v>
      </c>
      <c r="H1164" s="15" t="s">
        <v>71</v>
      </c>
      <c r="I1164" s="16">
        <v>72464</v>
      </c>
      <c r="J1164" s="16">
        <v>59611</v>
      </c>
      <c r="K1164" s="16">
        <v>70237</v>
      </c>
      <c r="L1164" s="17">
        <v>417.9</v>
      </c>
      <c r="M1164" s="17">
        <v>49.5</v>
      </c>
      <c r="N1164" s="17">
        <f t="shared" si="54"/>
        <v>368.4</v>
      </c>
      <c r="O1164" s="17">
        <v>279.5</v>
      </c>
      <c r="P1164" s="17">
        <v>354.6</v>
      </c>
      <c r="Q1164" s="17">
        <v>232.9</v>
      </c>
      <c r="R1164" s="17">
        <f t="shared" si="55"/>
        <v>135.49999999999997</v>
      </c>
      <c r="S1164" s="17">
        <v>180.5</v>
      </c>
      <c r="T1164" s="17">
        <f t="shared" si="56"/>
        <v>99</v>
      </c>
    </row>
    <row r="1165" spans="1:20" x14ac:dyDescent="0.35">
      <c r="A1165" s="14" t="s">
        <v>103</v>
      </c>
      <c r="B1165" s="15" t="s">
        <v>104</v>
      </c>
      <c r="C1165" s="15" t="s">
        <v>93</v>
      </c>
      <c r="D1165" s="15" t="s">
        <v>96</v>
      </c>
      <c r="E1165" s="15" t="s">
        <v>90</v>
      </c>
      <c r="F1165" s="15" t="s">
        <v>67</v>
      </c>
      <c r="G1165" s="15" t="s">
        <v>73</v>
      </c>
      <c r="H1165" s="15" t="s">
        <v>72</v>
      </c>
      <c r="I1165" s="16">
        <v>30143</v>
      </c>
      <c r="J1165" s="16">
        <v>24133</v>
      </c>
      <c r="K1165" s="16">
        <v>29135</v>
      </c>
      <c r="L1165" s="17">
        <v>230.8</v>
      </c>
      <c r="M1165" s="17">
        <v>27.4</v>
      </c>
      <c r="N1165" s="17">
        <f t="shared" si="54"/>
        <v>203.4</v>
      </c>
      <c r="O1165" s="17">
        <v>150.4</v>
      </c>
      <c r="P1165" s="17">
        <v>194.1</v>
      </c>
      <c r="Q1165" s="17">
        <v>133</v>
      </c>
      <c r="R1165" s="17">
        <f t="shared" si="55"/>
        <v>70.400000000000006</v>
      </c>
      <c r="S1165" s="17">
        <v>100.6</v>
      </c>
      <c r="T1165" s="17">
        <f t="shared" si="56"/>
        <v>49.800000000000011</v>
      </c>
    </row>
    <row r="1166" spans="1:20" x14ac:dyDescent="0.35">
      <c r="A1166" s="14" t="s">
        <v>103</v>
      </c>
      <c r="B1166" s="15" t="s">
        <v>104</v>
      </c>
      <c r="C1166" s="15" t="s">
        <v>93</v>
      </c>
      <c r="D1166" s="15" t="s">
        <v>96</v>
      </c>
      <c r="E1166" s="15" t="s">
        <v>90</v>
      </c>
      <c r="F1166" s="15" t="s">
        <v>67</v>
      </c>
      <c r="G1166" s="15" t="s">
        <v>74</v>
      </c>
      <c r="H1166" s="15" t="s">
        <v>70</v>
      </c>
      <c r="I1166" s="16">
        <v>91809</v>
      </c>
      <c r="J1166" s="16">
        <v>80199</v>
      </c>
      <c r="K1166" s="16">
        <v>88891</v>
      </c>
      <c r="L1166" s="17">
        <v>391.3</v>
      </c>
      <c r="M1166" s="17">
        <v>42.3</v>
      </c>
      <c r="N1166" s="17">
        <f t="shared" si="54"/>
        <v>349</v>
      </c>
      <c r="O1166" s="17">
        <v>280.3</v>
      </c>
      <c r="P1166" s="17">
        <v>333.6</v>
      </c>
      <c r="Q1166" s="17">
        <v>201.9</v>
      </c>
      <c r="R1166" s="17">
        <f t="shared" si="55"/>
        <v>147.1</v>
      </c>
      <c r="S1166" s="17">
        <v>166.3</v>
      </c>
      <c r="T1166" s="17">
        <f t="shared" si="56"/>
        <v>114</v>
      </c>
    </row>
    <row r="1167" spans="1:20" x14ac:dyDescent="0.35">
      <c r="A1167" s="14" t="s">
        <v>103</v>
      </c>
      <c r="B1167" s="15" t="s">
        <v>104</v>
      </c>
      <c r="C1167" s="15" t="s">
        <v>93</v>
      </c>
      <c r="D1167" s="15" t="s">
        <v>96</v>
      </c>
      <c r="E1167" s="15" t="s">
        <v>90</v>
      </c>
      <c r="F1167" s="15" t="s">
        <v>67</v>
      </c>
      <c r="G1167" s="15" t="s">
        <v>74</v>
      </c>
      <c r="H1167" s="15" t="s">
        <v>71</v>
      </c>
      <c r="I1167" s="16">
        <v>138654</v>
      </c>
      <c r="J1167" s="16">
        <v>121591</v>
      </c>
      <c r="K1167" s="16">
        <v>134446</v>
      </c>
      <c r="L1167" s="17">
        <v>767.7</v>
      </c>
      <c r="M1167" s="17">
        <v>91.8</v>
      </c>
      <c r="N1167" s="17">
        <f t="shared" si="54"/>
        <v>675.90000000000009</v>
      </c>
      <c r="O1167" s="17">
        <v>552.79999999999995</v>
      </c>
      <c r="P1167" s="17">
        <v>643.79999999999995</v>
      </c>
      <c r="Q1167" s="17">
        <v>421.1</v>
      </c>
      <c r="R1167" s="17">
        <f t="shared" si="55"/>
        <v>254.80000000000007</v>
      </c>
      <c r="S1167" s="17">
        <v>347.7</v>
      </c>
      <c r="T1167" s="17">
        <f t="shared" si="56"/>
        <v>205.09999999999997</v>
      </c>
    </row>
    <row r="1168" spans="1:20" x14ac:dyDescent="0.35">
      <c r="A1168" s="14" t="s">
        <v>103</v>
      </c>
      <c r="B1168" s="15" t="s">
        <v>104</v>
      </c>
      <c r="C1168" s="15" t="s">
        <v>93</v>
      </c>
      <c r="D1168" s="15" t="s">
        <v>96</v>
      </c>
      <c r="E1168" s="15" t="s">
        <v>90</v>
      </c>
      <c r="F1168" s="15" t="s">
        <v>67</v>
      </c>
      <c r="G1168" s="15" t="s">
        <v>75</v>
      </c>
      <c r="H1168" s="15" t="s">
        <v>71</v>
      </c>
      <c r="I1168" s="16">
        <v>95115</v>
      </c>
      <c r="J1168" s="16">
        <v>84881</v>
      </c>
      <c r="K1168" s="16">
        <v>91397</v>
      </c>
      <c r="L1168" s="17">
        <v>511.7</v>
      </c>
      <c r="M1168" s="17">
        <v>55.9</v>
      </c>
      <c r="N1168" s="17">
        <f t="shared" si="54"/>
        <v>455.8</v>
      </c>
      <c r="O1168" s="17">
        <v>375.6</v>
      </c>
      <c r="P1168" s="17">
        <v>440.2</v>
      </c>
      <c r="Q1168" s="17">
        <v>281.3</v>
      </c>
      <c r="R1168" s="17">
        <f t="shared" si="55"/>
        <v>174.5</v>
      </c>
      <c r="S1168" s="17">
        <v>235.2</v>
      </c>
      <c r="T1168" s="17">
        <f t="shared" si="56"/>
        <v>140.40000000000003</v>
      </c>
    </row>
    <row r="1169" spans="1:20" x14ac:dyDescent="0.35">
      <c r="A1169" s="14" t="s">
        <v>103</v>
      </c>
      <c r="B1169" s="15" t="s">
        <v>104</v>
      </c>
      <c r="C1169" s="15" t="s">
        <v>93</v>
      </c>
      <c r="D1169" s="15" t="s">
        <v>96</v>
      </c>
      <c r="E1169" s="15" t="s">
        <v>90</v>
      </c>
      <c r="F1169" s="15" t="s">
        <v>67</v>
      </c>
      <c r="G1169" s="15" t="s">
        <v>76</v>
      </c>
      <c r="H1169" s="15" t="s">
        <v>72</v>
      </c>
      <c r="I1169" s="16">
        <v>23298</v>
      </c>
      <c r="J1169" s="16">
        <v>19986</v>
      </c>
      <c r="K1169" s="16">
        <v>22497</v>
      </c>
      <c r="L1169" s="17">
        <v>218.7</v>
      </c>
      <c r="M1169" s="17">
        <v>23.7</v>
      </c>
      <c r="N1169" s="17">
        <f t="shared" si="54"/>
        <v>195</v>
      </c>
      <c r="O1169" s="17">
        <v>153.69999999999999</v>
      </c>
      <c r="P1169" s="17">
        <v>186.2</v>
      </c>
      <c r="Q1169" s="17">
        <v>119.6</v>
      </c>
      <c r="R1169" s="17">
        <f t="shared" si="55"/>
        <v>75.400000000000006</v>
      </c>
      <c r="S1169" s="17">
        <v>95.4</v>
      </c>
      <c r="T1169" s="17">
        <f t="shared" si="56"/>
        <v>58.299999999999983</v>
      </c>
    </row>
    <row r="1170" spans="1:20" x14ac:dyDescent="0.35">
      <c r="A1170" s="14" t="s">
        <v>103</v>
      </c>
      <c r="B1170" s="15" t="s">
        <v>104</v>
      </c>
      <c r="C1170" s="15" t="s">
        <v>93</v>
      </c>
      <c r="D1170" s="15" t="s">
        <v>96</v>
      </c>
      <c r="E1170" s="15" t="s">
        <v>90</v>
      </c>
      <c r="F1170" s="15" t="s">
        <v>79</v>
      </c>
      <c r="G1170" s="15" t="s">
        <v>95</v>
      </c>
      <c r="H1170" s="15" t="s">
        <v>71</v>
      </c>
      <c r="I1170" s="16">
        <v>102447</v>
      </c>
      <c r="J1170" s="16">
        <v>88751</v>
      </c>
      <c r="K1170" s="16">
        <v>99376</v>
      </c>
      <c r="L1170" s="17">
        <v>346.5</v>
      </c>
      <c r="M1170" s="17">
        <v>34.9</v>
      </c>
      <c r="N1170" s="17">
        <f t="shared" si="54"/>
        <v>311.60000000000002</v>
      </c>
      <c r="O1170" s="17">
        <v>248.4</v>
      </c>
      <c r="P1170" s="17">
        <v>299.7</v>
      </c>
      <c r="Q1170" s="17">
        <v>183</v>
      </c>
      <c r="R1170" s="17">
        <f t="shared" si="55"/>
        <v>128.60000000000002</v>
      </c>
      <c r="S1170" s="17">
        <v>149.30000000000001</v>
      </c>
      <c r="T1170" s="17">
        <f t="shared" si="56"/>
        <v>99.1</v>
      </c>
    </row>
    <row r="1171" spans="1:20" x14ac:dyDescent="0.35">
      <c r="A1171" s="14" t="s">
        <v>103</v>
      </c>
      <c r="B1171" s="15" t="s">
        <v>104</v>
      </c>
      <c r="C1171" s="15" t="s">
        <v>93</v>
      </c>
      <c r="D1171" s="15" t="s">
        <v>96</v>
      </c>
      <c r="E1171" s="15" t="s">
        <v>90</v>
      </c>
      <c r="F1171" s="15" t="s">
        <v>81</v>
      </c>
      <c r="G1171" s="15" t="s">
        <v>82</v>
      </c>
      <c r="H1171" s="15" t="s">
        <v>71</v>
      </c>
      <c r="I1171" s="16">
        <v>32116</v>
      </c>
      <c r="J1171" s="16">
        <v>27585</v>
      </c>
      <c r="K1171" s="16">
        <v>30981</v>
      </c>
      <c r="L1171" s="17">
        <v>229.4</v>
      </c>
      <c r="M1171" s="17">
        <v>23.4</v>
      </c>
      <c r="N1171" s="17">
        <f t="shared" si="54"/>
        <v>206</v>
      </c>
      <c r="O1171" s="17">
        <v>162.5</v>
      </c>
      <c r="P1171" s="17">
        <v>195.6</v>
      </c>
      <c r="Q1171" s="17">
        <v>127.4</v>
      </c>
      <c r="R1171" s="17">
        <f t="shared" si="55"/>
        <v>78.599999999999994</v>
      </c>
      <c r="S1171" s="17">
        <v>101.9</v>
      </c>
      <c r="T1171" s="17">
        <f t="shared" si="56"/>
        <v>60.599999999999994</v>
      </c>
    </row>
    <row r="1172" spans="1:20" x14ac:dyDescent="0.35">
      <c r="A1172" s="14" t="s">
        <v>103</v>
      </c>
      <c r="B1172" s="15" t="s">
        <v>104</v>
      </c>
      <c r="C1172" s="15" t="s">
        <v>93</v>
      </c>
      <c r="D1172" s="15" t="s">
        <v>96</v>
      </c>
      <c r="E1172" s="15" t="s">
        <v>90</v>
      </c>
      <c r="F1172" s="15" t="s">
        <v>83</v>
      </c>
      <c r="G1172" s="15" t="s">
        <v>84</v>
      </c>
      <c r="H1172" s="15" t="s">
        <v>72</v>
      </c>
      <c r="I1172" s="16">
        <v>18281</v>
      </c>
      <c r="J1172" s="16">
        <v>14130</v>
      </c>
      <c r="K1172" s="16">
        <v>17781</v>
      </c>
      <c r="L1172" s="17">
        <v>416.1</v>
      </c>
      <c r="M1172" s="17">
        <v>43.7</v>
      </c>
      <c r="N1172" s="17">
        <f t="shared" si="54"/>
        <v>372.40000000000003</v>
      </c>
      <c r="O1172" s="17">
        <v>264.5</v>
      </c>
      <c r="P1172" s="17">
        <v>356.4</v>
      </c>
      <c r="Q1172" s="17">
        <v>220.2</v>
      </c>
      <c r="R1172" s="17">
        <f t="shared" si="55"/>
        <v>152.20000000000005</v>
      </c>
      <c r="S1172" s="17">
        <v>158</v>
      </c>
      <c r="T1172" s="17">
        <f t="shared" si="56"/>
        <v>106.5</v>
      </c>
    </row>
    <row r="1173" spans="1:20" x14ac:dyDescent="0.35">
      <c r="A1173" s="14" t="s">
        <v>103</v>
      </c>
      <c r="B1173" s="15" t="s">
        <v>104</v>
      </c>
      <c r="C1173" s="15" t="s">
        <v>93</v>
      </c>
      <c r="D1173" s="15" t="s">
        <v>96</v>
      </c>
      <c r="E1173" s="15" t="s">
        <v>91</v>
      </c>
      <c r="F1173" s="15" t="s">
        <v>67</v>
      </c>
      <c r="G1173" s="15" t="s">
        <v>68</v>
      </c>
      <c r="H1173" s="15" t="s">
        <v>69</v>
      </c>
      <c r="I1173" s="16">
        <v>179882</v>
      </c>
      <c r="J1173" s="16">
        <v>155096</v>
      </c>
      <c r="K1173" s="16">
        <v>172779</v>
      </c>
      <c r="L1173" s="17">
        <v>798.6</v>
      </c>
      <c r="M1173" s="17">
        <v>37.200000000000003</v>
      </c>
      <c r="N1173" s="17">
        <f t="shared" si="54"/>
        <v>761.4</v>
      </c>
      <c r="O1173" s="17">
        <v>607.6</v>
      </c>
      <c r="P1173" s="17">
        <v>732.1</v>
      </c>
      <c r="Q1173" s="17">
        <v>408.4</v>
      </c>
      <c r="R1173" s="17">
        <f t="shared" si="55"/>
        <v>353</v>
      </c>
      <c r="S1173" s="17">
        <v>329.8</v>
      </c>
      <c r="T1173" s="17">
        <f t="shared" si="56"/>
        <v>277.8</v>
      </c>
    </row>
    <row r="1174" spans="1:20" x14ac:dyDescent="0.35">
      <c r="A1174" s="14" t="s">
        <v>103</v>
      </c>
      <c r="B1174" s="15" t="s">
        <v>104</v>
      </c>
      <c r="C1174" s="15" t="s">
        <v>93</v>
      </c>
      <c r="D1174" s="15" t="s">
        <v>96</v>
      </c>
      <c r="E1174" s="15" t="s">
        <v>91</v>
      </c>
      <c r="F1174" s="15" t="s">
        <v>67</v>
      </c>
      <c r="G1174" s="15" t="s">
        <v>68</v>
      </c>
      <c r="H1174" s="15" t="s">
        <v>70</v>
      </c>
      <c r="I1174" s="16">
        <v>53194</v>
      </c>
      <c r="J1174" s="16">
        <v>45370</v>
      </c>
      <c r="K1174" s="16">
        <v>51683</v>
      </c>
      <c r="L1174" s="17">
        <v>270.8</v>
      </c>
      <c r="M1174" s="17">
        <v>11.9</v>
      </c>
      <c r="N1174" s="17">
        <f t="shared" si="54"/>
        <v>258.90000000000003</v>
      </c>
      <c r="O1174" s="17">
        <v>204.3</v>
      </c>
      <c r="P1174" s="17">
        <v>249.3</v>
      </c>
      <c r="Q1174" s="17">
        <v>145.5</v>
      </c>
      <c r="R1174" s="17">
        <f t="shared" si="55"/>
        <v>113.40000000000003</v>
      </c>
      <c r="S1174" s="17">
        <v>116.3</v>
      </c>
      <c r="T1174" s="17">
        <f t="shared" si="56"/>
        <v>88.000000000000014</v>
      </c>
    </row>
    <row r="1175" spans="1:20" x14ac:dyDescent="0.35">
      <c r="A1175" s="14" t="s">
        <v>103</v>
      </c>
      <c r="B1175" s="15" t="s">
        <v>104</v>
      </c>
      <c r="C1175" s="15" t="s">
        <v>93</v>
      </c>
      <c r="D1175" s="15" t="s">
        <v>96</v>
      </c>
      <c r="E1175" s="15" t="s">
        <v>91</v>
      </c>
      <c r="F1175" s="15" t="s">
        <v>67</v>
      </c>
      <c r="G1175" s="15" t="s">
        <v>68</v>
      </c>
      <c r="H1175" s="15" t="s">
        <v>71</v>
      </c>
      <c r="I1175" s="16">
        <v>107707</v>
      </c>
      <c r="J1175" s="16">
        <v>92875</v>
      </c>
      <c r="K1175" s="16">
        <v>104361</v>
      </c>
      <c r="L1175" s="17">
        <v>696.2</v>
      </c>
      <c r="M1175" s="17">
        <v>40.299999999999997</v>
      </c>
      <c r="N1175" s="17">
        <f t="shared" si="54"/>
        <v>655.90000000000009</v>
      </c>
      <c r="O1175" s="17">
        <v>523.9</v>
      </c>
      <c r="P1175" s="17">
        <v>623.79999999999995</v>
      </c>
      <c r="Q1175" s="17">
        <v>400.1</v>
      </c>
      <c r="R1175" s="17">
        <f t="shared" si="55"/>
        <v>255.80000000000007</v>
      </c>
      <c r="S1175" s="17">
        <v>327.3</v>
      </c>
      <c r="T1175" s="17">
        <f t="shared" si="56"/>
        <v>196.59999999999997</v>
      </c>
    </row>
    <row r="1176" spans="1:20" x14ac:dyDescent="0.35">
      <c r="A1176" s="14" t="s">
        <v>103</v>
      </c>
      <c r="B1176" s="15" t="s">
        <v>104</v>
      </c>
      <c r="C1176" s="15" t="s">
        <v>93</v>
      </c>
      <c r="D1176" s="15" t="s">
        <v>96</v>
      </c>
      <c r="E1176" s="15" t="s">
        <v>91</v>
      </c>
      <c r="F1176" s="15" t="s">
        <v>67</v>
      </c>
      <c r="G1176" s="15" t="s">
        <v>68</v>
      </c>
      <c r="H1176" s="15" t="s">
        <v>72</v>
      </c>
      <c r="I1176" s="16">
        <v>47856</v>
      </c>
      <c r="J1176" s="16">
        <v>40477</v>
      </c>
      <c r="K1176" s="16">
        <v>46497</v>
      </c>
      <c r="L1176" s="17">
        <v>418.9</v>
      </c>
      <c r="M1176" s="17">
        <v>21.6</v>
      </c>
      <c r="N1176" s="17">
        <f t="shared" si="54"/>
        <v>397.29999999999995</v>
      </c>
      <c r="O1176" s="17">
        <v>310.39999999999998</v>
      </c>
      <c r="P1176" s="17">
        <v>376.7</v>
      </c>
      <c r="Q1176" s="17">
        <v>252.2</v>
      </c>
      <c r="R1176" s="17">
        <f t="shared" si="55"/>
        <v>145.09999999999997</v>
      </c>
      <c r="S1176" s="17">
        <v>198.6</v>
      </c>
      <c r="T1176" s="17">
        <f t="shared" si="56"/>
        <v>111.79999999999998</v>
      </c>
    </row>
    <row r="1177" spans="1:20" x14ac:dyDescent="0.35">
      <c r="A1177" s="14" t="s">
        <v>103</v>
      </c>
      <c r="B1177" s="15" t="s">
        <v>104</v>
      </c>
      <c r="C1177" s="15" t="s">
        <v>93</v>
      </c>
      <c r="D1177" s="15" t="s">
        <v>96</v>
      </c>
      <c r="E1177" s="15" t="s">
        <v>91</v>
      </c>
      <c r="F1177" s="15" t="s">
        <v>67</v>
      </c>
      <c r="G1177" s="15" t="s">
        <v>73</v>
      </c>
      <c r="H1177" s="15" t="s">
        <v>71</v>
      </c>
      <c r="I1177" s="16">
        <v>24831</v>
      </c>
      <c r="J1177" s="16">
        <v>19432</v>
      </c>
      <c r="K1177" s="16">
        <v>24054</v>
      </c>
      <c r="L1177" s="17">
        <v>165.3</v>
      </c>
      <c r="M1177" s="17">
        <v>7.2</v>
      </c>
      <c r="N1177" s="17">
        <f t="shared" si="54"/>
        <v>158.10000000000002</v>
      </c>
      <c r="O1177" s="17">
        <v>114.4</v>
      </c>
      <c r="P1177" s="17">
        <v>150.69999999999999</v>
      </c>
      <c r="Q1177" s="17">
        <v>99.7</v>
      </c>
      <c r="R1177" s="17">
        <f t="shared" si="55"/>
        <v>58.40000000000002</v>
      </c>
      <c r="S1177" s="17">
        <v>73.099999999999994</v>
      </c>
      <c r="T1177" s="17">
        <f t="shared" si="56"/>
        <v>41.300000000000011</v>
      </c>
    </row>
    <row r="1178" spans="1:20" x14ac:dyDescent="0.35">
      <c r="A1178" s="14" t="s">
        <v>103</v>
      </c>
      <c r="B1178" s="15" t="s">
        <v>104</v>
      </c>
      <c r="C1178" s="15" t="s">
        <v>93</v>
      </c>
      <c r="D1178" s="15" t="s">
        <v>96</v>
      </c>
      <c r="E1178" s="15" t="s">
        <v>91</v>
      </c>
      <c r="F1178" s="15" t="s">
        <v>67</v>
      </c>
      <c r="G1178" s="15" t="s">
        <v>73</v>
      </c>
      <c r="H1178" s="15" t="s">
        <v>72</v>
      </c>
      <c r="I1178" s="16">
        <v>16517</v>
      </c>
      <c r="J1178" s="16">
        <v>12711</v>
      </c>
      <c r="K1178" s="16">
        <v>15901</v>
      </c>
      <c r="L1178" s="17">
        <v>145.80000000000001</v>
      </c>
      <c r="M1178" s="17">
        <v>8.5</v>
      </c>
      <c r="N1178" s="17">
        <f t="shared" si="54"/>
        <v>137.30000000000001</v>
      </c>
      <c r="O1178" s="17">
        <v>98</v>
      </c>
      <c r="P1178" s="17">
        <v>132.5</v>
      </c>
      <c r="Q1178" s="17">
        <v>86.5</v>
      </c>
      <c r="R1178" s="17">
        <f t="shared" si="55"/>
        <v>50.800000000000011</v>
      </c>
      <c r="S1178" s="17">
        <v>62.5</v>
      </c>
      <c r="T1178" s="17">
        <f t="shared" si="56"/>
        <v>35.5</v>
      </c>
    </row>
    <row r="1179" spans="1:20" x14ac:dyDescent="0.35">
      <c r="A1179" s="14" t="s">
        <v>103</v>
      </c>
      <c r="B1179" s="15" t="s">
        <v>104</v>
      </c>
      <c r="C1179" s="15" t="s">
        <v>93</v>
      </c>
      <c r="D1179" s="15" t="s">
        <v>96</v>
      </c>
      <c r="E1179" s="15" t="s">
        <v>91</v>
      </c>
      <c r="F1179" s="15" t="s">
        <v>67</v>
      </c>
      <c r="G1179" s="15" t="s">
        <v>74</v>
      </c>
      <c r="H1179" s="15" t="s">
        <v>70</v>
      </c>
      <c r="I1179" s="16">
        <v>25532</v>
      </c>
      <c r="J1179" s="16">
        <v>21518</v>
      </c>
      <c r="K1179" s="16">
        <v>24836</v>
      </c>
      <c r="L1179" s="17">
        <v>132.4</v>
      </c>
      <c r="M1179" s="17">
        <v>6</v>
      </c>
      <c r="N1179" s="17">
        <f t="shared" si="54"/>
        <v>126.4</v>
      </c>
      <c r="O1179" s="17">
        <v>98.7</v>
      </c>
      <c r="P1179" s="17">
        <v>120.1</v>
      </c>
      <c r="Q1179" s="17">
        <v>71.099999999999994</v>
      </c>
      <c r="R1179" s="17">
        <f t="shared" si="55"/>
        <v>55.300000000000011</v>
      </c>
      <c r="S1179" s="17">
        <v>56.9</v>
      </c>
      <c r="T1179" s="17">
        <f t="shared" si="56"/>
        <v>41.800000000000004</v>
      </c>
    </row>
    <row r="1180" spans="1:20" x14ac:dyDescent="0.35">
      <c r="A1180" s="14" t="s">
        <v>103</v>
      </c>
      <c r="B1180" s="15" t="s">
        <v>104</v>
      </c>
      <c r="C1180" s="15" t="s">
        <v>93</v>
      </c>
      <c r="D1180" s="15" t="s">
        <v>96</v>
      </c>
      <c r="E1180" s="15" t="s">
        <v>91</v>
      </c>
      <c r="F1180" s="15" t="s">
        <v>67</v>
      </c>
      <c r="G1180" s="15" t="s">
        <v>74</v>
      </c>
      <c r="H1180" s="15" t="s">
        <v>71</v>
      </c>
      <c r="I1180" s="16">
        <v>44825</v>
      </c>
      <c r="J1180" s="16">
        <v>38395</v>
      </c>
      <c r="K1180" s="16">
        <v>43305</v>
      </c>
      <c r="L1180" s="17">
        <v>281.10000000000002</v>
      </c>
      <c r="M1180" s="17">
        <v>15</v>
      </c>
      <c r="N1180" s="17">
        <f t="shared" si="54"/>
        <v>266.10000000000002</v>
      </c>
      <c r="O1180" s="17">
        <v>210.2</v>
      </c>
      <c r="P1180" s="17">
        <v>253.1</v>
      </c>
      <c r="Q1180" s="17">
        <v>165</v>
      </c>
      <c r="R1180" s="17">
        <f t="shared" si="55"/>
        <v>101.10000000000002</v>
      </c>
      <c r="S1180" s="17">
        <v>133</v>
      </c>
      <c r="T1180" s="17">
        <f t="shared" si="56"/>
        <v>77.199999999999989</v>
      </c>
    </row>
    <row r="1181" spans="1:20" x14ac:dyDescent="0.35">
      <c r="A1181" s="14" t="s">
        <v>103</v>
      </c>
      <c r="B1181" s="15" t="s">
        <v>104</v>
      </c>
      <c r="C1181" s="15" t="s">
        <v>93</v>
      </c>
      <c r="D1181" s="15" t="s">
        <v>96</v>
      </c>
      <c r="E1181" s="15" t="s">
        <v>91</v>
      </c>
      <c r="F1181" s="15" t="s">
        <v>67</v>
      </c>
      <c r="G1181" s="15" t="s">
        <v>75</v>
      </c>
      <c r="H1181" s="15" t="s">
        <v>71</v>
      </c>
      <c r="I1181" s="16">
        <v>29896</v>
      </c>
      <c r="J1181" s="16">
        <v>25123</v>
      </c>
      <c r="K1181" s="16">
        <v>28711</v>
      </c>
      <c r="L1181" s="17">
        <v>193.5</v>
      </c>
      <c r="M1181" s="17">
        <v>8.5</v>
      </c>
      <c r="N1181" s="17">
        <f t="shared" si="54"/>
        <v>185</v>
      </c>
      <c r="O1181" s="17">
        <v>142.69999999999999</v>
      </c>
      <c r="P1181" s="17">
        <v>176.4</v>
      </c>
      <c r="Q1181" s="17">
        <v>115.1</v>
      </c>
      <c r="R1181" s="17">
        <f t="shared" si="55"/>
        <v>69.900000000000006</v>
      </c>
      <c r="S1181" s="17">
        <v>90.2</v>
      </c>
      <c r="T1181" s="17">
        <f t="shared" si="56"/>
        <v>52.499999999999986</v>
      </c>
    </row>
    <row r="1182" spans="1:20" x14ac:dyDescent="0.35">
      <c r="A1182" s="14" t="s">
        <v>103</v>
      </c>
      <c r="B1182" s="15" t="s">
        <v>104</v>
      </c>
      <c r="C1182" s="15" t="s">
        <v>93</v>
      </c>
      <c r="D1182" s="15" t="s">
        <v>96</v>
      </c>
      <c r="E1182" s="15" t="s">
        <v>91</v>
      </c>
      <c r="F1182" s="15" t="s">
        <v>67</v>
      </c>
      <c r="G1182" s="15" t="s">
        <v>76</v>
      </c>
      <c r="H1182" s="15" t="s">
        <v>72</v>
      </c>
      <c r="I1182" s="16">
        <v>39986</v>
      </c>
      <c r="J1182" s="16">
        <v>33231</v>
      </c>
      <c r="K1182" s="16">
        <v>38501</v>
      </c>
      <c r="L1182" s="17">
        <v>429.4</v>
      </c>
      <c r="M1182" s="17">
        <v>25</v>
      </c>
      <c r="N1182" s="17">
        <f t="shared" si="54"/>
        <v>404.4</v>
      </c>
      <c r="O1182" s="17">
        <v>309.10000000000002</v>
      </c>
      <c r="P1182" s="17">
        <v>387.1</v>
      </c>
      <c r="Q1182" s="17">
        <v>244.8</v>
      </c>
      <c r="R1182" s="17">
        <f t="shared" si="55"/>
        <v>159.59999999999997</v>
      </c>
      <c r="S1182" s="17">
        <v>188.5</v>
      </c>
      <c r="T1182" s="17">
        <f t="shared" si="56"/>
        <v>120.60000000000002</v>
      </c>
    </row>
    <row r="1183" spans="1:20" x14ac:dyDescent="0.35">
      <c r="A1183" s="14" t="s">
        <v>103</v>
      </c>
      <c r="B1183" s="15" t="s">
        <v>104</v>
      </c>
      <c r="C1183" s="15" t="s">
        <v>93</v>
      </c>
      <c r="D1183" s="15" t="s">
        <v>96</v>
      </c>
      <c r="E1183" s="15" t="s">
        <v>91</v>
      </c>
      <c r="F1183" s="15" t="s">
        <v>79</v>
      </c>
      <c r="G1183" s="15" t="s">
        <v>95</v>
      </c>
      <c r="H1183" s="15" t="s">
        <v>71</v>
      </c>
      <c r="I1183" s="16">
        <v>28683</v>
      </c>
      <c r="J1183" s="16">
        <v>24232</v>
      </c>
      <c r="K1183" s="16">
        <v>27898</v>
      </c>
      <c r="L1183" s="17">
        <v>114.5</v>
      </c>
      <c r="M1183" s="17">
        <v>4.8</v>
      </c>
      <c r="N1183" s="17">
        <f t="shared" si="54"/>
        <v>109.7</v>
      </c>
      <c r="O1183" s="17">
        <v>85.5</v>
      </c>
      <c r="P1183" s="17">
        <v>104.6</v>
      </c>
      <c r="Q1183" s="17">
        <v>67.3</v>
      </c>
      <c r="R1183" s="17">
        <f t="shared" si="55"/>
        <v>42.400000000000006</v>
      </c>
      <c r="S1183" s="17">
        <v>53.6</v>
      </c>
      <c r="T1183" s="17">
        <f t="shared" si="56"/>
        <v>31.9</v>
      </c>
    </row>
    <row r="1184" spans="1:20" x14ac:dyDescent="0.35">
      <c r="A1184" s="14" t="s">
        <v>103</v>
      </c>
      <c r="B1184" s="15" t="s">
        <v>104</v>
      </c>
      <c r="C1184" s="15" t="s">
        <v>93</v>
      </c>
      <c r="D1184" s="15" t="s">
        <v>96</v>
      </c>
      <c r="E1184" s="15" t="s">
        <v>91</v>
      </c>
      <c r="F1184" s="15" t="s">
        <v>81</v>
      </c>
      <c r="G1184" s="15" t="s">
        <v>82</v>
      </c>
      <c r="H1184" s="15" t="s">
        <v>71</v>
      </c>
      <c r="I1184" s="16">
        <v>11226</v>
      </c>
      <c r="J1184" s="16">
        <v>9280</v>
      </c>
      <c r="K1184" s="16">
        <v>10784</v>
      </c>
      <c r="L1184" s="17">
        <v>94.9</v>
      </c>
      <c r="M1184" s="17">
        <v>5.3</v>
      </c>
      <c r="N1184" s="17">
        <f t="shared" si="54"/>
        <v>89.600000000000009</v>
      </c>
      <c r="O1184" s="17">
        <v>68.5</v>
      </c>
      <c r="P1184" s="17">
        <v>86</v>
      </c>
      <c r="Q1184" s="17">
        <v>54.2</v>
      </c>
      <c r="R1184" s="17">
        <f t="shared" si="55"/>
        <v>35.400000000000006</v>
      </c>
      <c r="S1184" s="17">
        <v>42</v>
      </c>
      <c r="T1184" s="17">
        <f t="shared" si="56"/>
        <v>26.5</v>
      </c>
    </row>
    <row r="1185" spans="1:20" x14ac:dyDescent="0.35">
      <c r="A1185" s="14" t="s">
        <v>103</v>
      </c>
      <c r="B1185" s="15" t="s">
        <v>104</v>
      </c>
      <c r="C1185" s="15" t="s">
        <v>93</v>
      </c>
      <c r="D1185" s="15" t="s">
        <v>96</v>
      </c>
      <c r="E1185" s="15" t="s">
        <v>91</v>
      </c>
      <c r="F1185" s="15" t="s">
        <v>83</v>
      </c>
      <c r="G1185" s="15" t="s">
        <v>84</v>
      </c>
      <c r="H1185" s="15" t="s">
        <v>72</v>
      </c>
      <c r="I1185" s="16">
        <v>10093</v>
      </c>
      <c r="J1185" s="16">
        <v>7633</v>
      </c>
      <c r="K1185" s="16">
        <v>9805</v>
      </c>
      <c r="L1185" s="17">
        <v>275.2</v>
      </c>
      <c r="M1185" s="17">
        <v>16.2</v>
      </c>
      <c r="N1185" s="17">
        <f t="shared" si="54"/>
        <v>259</v>
      </c>
      <c r="O1185" s="17">
        <v>180.1</v>
      </c>
      <c r="P1185" s="17">
        <v>246.5</v>
      </c>
      <c r="Q1185" s="17">
        <v>147.30000000000001</v>
      </c>
      <c r="R1185" s="17">
        <f t="shared" si="55"/>
        <v>111.69999999999999</v>
      </c>
      <c r="S1185" s="17">
        <v>104.5</v>
      </c>
      <c r="T1185" s="17">
        <f t="shared" si="56"/>
        <v>75.599999999999994</v>
      </c>
    </row>
    <row r="1186" spans="1:20" x14ac:dyDescent="0.35">
      <c r="A1186" s="14" t="s">
        <v>103</v>
      </c>
      <c r="B1186" s="15" t="s">
        <v>104</v>
      </c>
      <c r="C1186" s="15" t="s">
        <v>93</v>
      </c>
      <c r="D1186" s="15" t="s">
        <v>96</v>
      </c>
      <c r="E1186" s="15" t="s">
        <v>92</v>
      </c>
      <c r="F1186" s="15" t="s">
        <v>67</v>
      </c>
      <c r="G1186" s="15" t="s">
        <v>68</v>
      </c>
      <c r="H1186" s="15" t="s">
        <v>69</v>
      </c>
      <c r="I1186" s="16">
        <v>214851</v>
      </c>
      <c r="J1186" s="16">
        <v>160899</v>
      </c>
      <c r="K1186" s="16">
        <v>209143</v>
      </c>
      <c r="L1186" s="17">
        <v>888.4</v>
      </c>
      <c r="M1186" s="17">
        <v>64.2</v>
      </c>
      <c r="N1186" s="17">
        <f t="shared" si="54"/>
        <v>824.19999999999993</v>
      </c>
      <c r="O1186" s="17">
        <v>575.79999999999995</v>
      </c>
      <c r="P1186" s="17">
        <v>784.5</v>
      </c>
      <c r="Q1186" s="17">
        <v>461.4</v>
      </c>
      <c r="R1186" s="17">
        <f t="shared" si="55"/>
        <v>362.79999999999995</v>
      </c>
      <c r="S1186" s="17">
        <v>326.60000000000002</v>
      </c>
      <c r="T1186" s="17">
        <f t="shared" si="56"/>
        <v>249.19999999999993</v>
      </c>
    </row>
    <row r="1187" spans="1:20" x14ac:dyDescent="0.35">
      <c r="A1187" s="14" t="s">
        <v>103</v>
      </c>
      <c r="B1187" s="15" t="s">
        <v>104</v>
      </c>
      <c r="C1187" s="15" t="s">
        <v>93</v>
      </c>
      <c r="D1187" s="15" t="s">
        <v>96</v>
      </c>
      <c r="E1187" s="15" t="s">
        <v>92</v>
      </c>
      <c r="F1187" s="15" t="s">
        <v>67</v>
      </c>
      <c r="G1187" s="15" t="s">
        <v>68</v>
      </c>
      <c r="H1187" s="15" t="s">
        <v>70</v>
      </c>
      <c r="I1187" s="16">
        <v>151233</v>
      </c>
      <c r="J1187" s="16">
        <v>109476</v>
      </c>
      <c r="K1187" s="16">
        <v>146875</v>
      </c>
      <c r="L1187" s="17">
        <v>742.6</v>
      </c>
      <c r="M1187" s="17">
        <v>59.3</v>
      </c>
      <c r="N1187" s="17">
        <f t="shared" si="54"/>
        <v>683.30000000000007</v>
      </c>
      <c r="O1187" s="17">
        <v>455.4</v>
      </c>
      <c r="P1187" s="17">
        <v>648.70000000000005</v>
      </c>
      <c r="Q1187" s="17">
        <v>381.3</v>
      </c>
      <c r="R1187" s="17">
        <f t="shared" si="55"/>
        <v>302.00000000000006</v>
      </c>
      <c r="S1187" s="17">
        <v>258.60000000000002</v>
      </c>
      <c r="T1187" s="17">
        <f t="shared" si="56"/>
        <v>196.79999999999995</v>
      </c>
    </row>
    <row r="1188" spans="1:20" x14ac:dyDescent="0.35">
      <c r="A1188" s="14" t="s">
        <v>103</v>
      </c>
      <c r="B1188" s="15" t="s">
        <v>104</v>
      </c>
      <c r="C1188" s="15" t="s">
        <v>93</v>
      </c>
      <c r="D1188" s="15" t="s">
        <v>96</v>
      </c>
      <c r="E1188" s="15" t="s">
        <v>92</v>
      </c>
      <c r="F1188" s="15" t="s">
        <v>67</v>
      </c>
      <c r="G1188" s="15" t="s">
        <v>68</v>
      </c>
      <c r="H1188" s="15" t="s">
        <v>71</v>
      </c>
      <c r="I1188" s="16">
        <v>189953</v>
      </c>
      <c r="J1188" s="16">
        <v>141275</v>
      </c>
      <c r="K1188" s="16">
        <v>182694</v>
      </c>
      <c r="L1188" s="17">
        <v>1144.0999999999999</v>
      </c>
      <c r="M1188" s="17">
        <v>99.4</v>
      </c>
      <c r="N1188" s="17">
        <f t="shared" si="54"/>
        <v>1044.6999999999998</v>
      </c>
      <c r="O1188" s="17">
        <v>714.8</v>
      </c>
      <c r="P1188" s="17">
        <v>1006.8</v>
      </c>
      <c r="Q1188" s="17">
        <v>662.1</v>
      </c>
      <c r="R1188" s="17">
        <f t="shared" si="55"/>
        <v>382.5999999999998</v>
      </c>
      <c r="S1188" s="17">
        <v>459</v>
      </c>
      <c r="T1188" s="17">
        <f t="shared" si="56"/>
        <v>255.79999999999995</v>
      </c>
    </row>
    <row r="1189" spans="1:20" x14ac:dyDescent="0.35">
      <c r="A1189" s="14" t="s">
        <v>103</v>
      </c>
      <c r="B1189" s="15" t="s">
        <v>104</v>
      </c>
      <c r="C1189" s="15" t="s">
        <v>93</v>
      </c>
      <c r="D1189" s="15" t="s">
        <v>96</v>
      </c>
      <c r="E1189" s="15" t="s">
        <v>92</v>
      </c>
      <c r="F1189" s="15" t="s">
        <v>67</v>
      </c>
      <c r="G1189" s="15" t="s">
        <v>68</v>
      </c>
      <c r="H1189" s="15" t="s">
        <v>72</v>
      </c>
      <c r="I1189" s="16">
        <v>51145</v>
      </c>
      <c r="J1189" s="16">
        <v>37699</v>
      </c>
      <c r="K1189" s="16">
        <v>49737</v>
      </c>
      <c r="L1189" s="17">
        <v>430.6</v>
      </c>
      <c r="M1189" s="17">
        <v>36</v>
      </c>
      <c r="N1189" s="17">
        <f t="shared" si="54"/>
        <v>394.6</v>
      </c>
      <c r="O1189" s="17">
        <v>268.7</v>
      </c>
      <c r="P1189" s="17">
        <v>374.5</v>
      </c>
      <c r="Q1189" s="17">
        <v>247.1</v>
      </c>
      <c r="R1189" s="17">
        <f t="shared" si="55"/>
        <v>147.50000000000003</v>
      </c>
      <c r="S1189" s="17">
        <v>169.8</v>
      </c>
      <c r="T1189" s="17">
        <f t="shared" si="56"/>
        <v>98.899999999999977</v>
      </c>
    </row>
    <row r="1190" spans="1:20" x14ac:dyDescent="0.35">
      <c r="A1190" s="14" t="s">
        <v>103</v>
      </c>
      <c r="B1190" s="15" t="s">
        <v>104</v>
      </c>
      <c r="C1190" s="15" t="s">
        <v>93</v>
      </c>
      <c r="D1190" s="15" t="s">
        <v>96</v>
      </c>
      <c r="E1190" s="15" t="s">
        <v>92</v>
      </c>
      <c r="F1190" s="15" t="s">
        <v>67</v>
      </c>
      <c r="G1190" s="15" t="s">
        <v>73</v>
      </c>
      <c r="H1190" s="15" t="s">
        <v>71</v>
      </c>
      <c r="I1190" s="16">
        <v>50788</v>
      </c>
      <c r="J1190" s="16">
        <v>35293</v>
      </c>
      <c r="K1190" s="16">
        <v>48714</v>
      </c>
      <c r="L1190" s="17">
        <v>305.89999999999998</v>
      </c>
      <c r="M1190" s="17">
        <v>25.3</v>
      </c>
      <c r="N1190" s="17">
        <f t="shared" si="54"/>
        <v>280.59999999999997</v>
      </c>
      <c r="O1190" s="17">
        <v>182.1</v>
      </c>
      <c r="P1190" s="17">
        <v>266.8</v>
      </c>
      <c r="Q1190" s="17">
        <v>174.2</v>
      </c>
      <c r="R1190" s="17">
        <f t="shared" si="55"/>
        <v>106.39999999999998</v>
      </c>
      <c r="S1190" s="17">
        <v>115.8</v>
      </c>
      <c r="T1190" s="17">
        <f t="shared" si="56"/>
        <v>66.3</v>
      </c>
    </row>
    <row r="1191" spans="1:20" x14ac:dyDescent="0.35">
      <c r="A1191" s="14" t="s">
        <v>103</v>
      </c>
      <c r="B1191" s="15" t="s">
        <v>104</v>
      </c>
      <c r="C1191" s="15" t="s">
        <v>93</v>
      </c>
      <c r="D1191" s="15" t="s">
        <v>96</v>
      </c>
      <c r="E1191" s="15" t="s">
        <v>92</v>
      </c>
      <c r="F1191" s="15" t="s">
        <v>67</v>
      </c>
      <c r="G1191" s="15" t="s">
        <v>73</v>
      </c>
      <c r="H1191" s="15" t="s">
        <v>72</v>
      </c>
      <c r="I1191" s="16">
        <v>15166</v>
      </c>
      <c r="J1191" s="16">
        <v>10376</v>
      </c>
      <c r="K1191" s="16">
        <v>14687</v>
      </c>
      <c r="L1191" s="17">
        <v>122.8</v>
      </c>
      <c r="M1191" s="17">
        <v>10.6</v>
      </c>
      <c r="N1191" s="17">
        <f t="shared" si="54"/>
        <v>112.2</v>
      </c>
      <c r="O1191" s="17">
        <v>71.7</v>
      </c>
      <c r="P1191" s="17">
        <v>106.5</v>
      </c>
      <c r="Q1191" s="17">
        <v>72.2</v>
      </c>
      <c r="R1191" s="17">
        <f t="shared" si="55"/>
        <v>40</v>
      </c>
      <c r="S1191" s="17">
        <v>47</v>
      </c>
      <c r="T1191" s="17">
        <f t="shared" si="56"/>
        <v>24.700000000000003</v>
      </c>
    </row>
    <row r="1192" spans="1:20" x14ac:dyDescent="0.35">
      <c r="A1192" s="14" t="s">
        <v>103</v>
      </c>
      <c r="B1192" s="15" t="s">
        <v>104</v>
      </c>
      <c r="C1192" s="15" t="s">
        <v>93</v>
      </c>
      <c r="D1192" s="15" t="s">
        <v>96</v>
      </c>
      <c r="E1192" s="15" t="s">
        <v>92</v>
      </c>
      <c r="F1192" s="15" t="s">
        <v>67</v>
      </c>
      <c r="G1192" s="15" t="s">
        <v>74</v>
      </c>
      <c r="H1192" s="15" t="s">
        <v>70</v>
      </c>
      <c r="I1192" s="16">
        <v>69849</v>
      </c>
      <c r="J1192" s="16">
        <v>50074</v>
      </c>
      <c r="K1192" s="16">
        <v>67827</v>
      </c>
      <c r="L1192" s="17">
        <v>330.2</v>
      </c>
      <c r="M1192" s="17">
        <v>23.5</v>
      </c>
      <c r="N1192" s="17">
        <f t="shared" si="54"/>
        <v>306.7</v>
      </c>
      <c r="O1192" s="17">
        <v>203.1</v>
      </c>
      <c r="P1192" s="17">
        <v>294.89999999999998</v>
      </c>
      <c r="Q1192" s="17">
        <v>175.1</v>
      </c>
      <c r="R1192" s="17">
        <f t="shared" si="55"/>
        <v>131.6</v>
      </c>
      <c r="S1192" s="17">
        <v>117.6</v>
      </c>
      <c r="T1192" s="17">
        <f t="shared" si="56"/>
        <v>85.5</v>
      </c>
    </row>
    <row r="1193" spans="1:20" x14ac:dyDescent="0.35">
      <c r="A1193" s="14" t="s">
        <v>103</v>
      </c>
      <c r="B1193" s="15" t="s">
        <v>104</v>
      </c>
      <c r="C1193" s="15" t="s">
        <v>93</v>
      </c>
      <c r="D1193" s="15" t="s">
        <v>96</v>
      </c>
      <c r="E1193" s="15" t="s">
        <v>92</v>
      </c>
      <c r="F1193" s="15" t="s">
        <v>67</v>
      </c>
      <c r="G1193" s="15" t="s">
        <v>74</v>
      </c>
      <c r="H1193" s="15" t="s">
        <v>71</v>
      </c>
      <c r="I1193" s="16">
        <v>79714</v>
      </c>
      <c r="J1193" s="16">
        <v>57978</v>
      </c>
      <c r="K1193" s="16">
        <v>77541</v>
      </c>
      <c r="L1193" s="17">
        <v>467.5</v>
      </c>
      <c r="M1193" s="17">
        <v>34.1</v>
      </c>
      <c r="N1193" s="17">
        <f t="shared" si="54"/>
        <v>433.4</v>
      </c>
      <c r="O1193" s="17">
        <v>293.2</v>
      </c>
      <c r="P1193" s="17">
        <v>415.4</v>
      </c>
      <c r="Q1193" s="17">
        <v>263.5</v>
      </c>
      <c r="R1193" s="17">
        <f t="shared" si="55"/>
        <v>169.89999999999998</v>
      </c>
      <c r="S1193" s="17">
        <v>181.6</v>
      </c>
      <c r="T1193" s="17">
        <f t="shared" si="56"/>
        <v>111.6</v>
      </c>
    </row>
    <row r="1194" spans="1:20" x14ac:dyDescent="0.35">
      <c r="A1194" s="14" t="s">
        <v>103</v>
      </c>
      <c r="B1194" s="15" t="s">
        <v>104</v>
      </c>
      <c r="C1194" s="15" t="s">
        <v>93</v>
      </c>
      <c r="D1194" s="15" t="s">
        <v>96</v>
      </c>
      <c r="E1194" s="15" t="s">
        <v>92</v>
      </c>
      <c r="F1194" s="15" t="s">
        <v>67</v>
      </c>
      <c r="G1194" s="15" t="s">
        <v>75</v>
      </c>
      <c r="H1194" s="15" t="s">
        <v>71</v>
      </c>
      <c r="I1194" s="16">
        <v>59055</v>
      </c>
      <c r="J1194" s="16">
        <v>43036</v>
      </c>
      <c r="K1194" s="16">
        <v>57384</v>
      </c>
      <c r="L1194" s="17">
        <v>340.5</v>
      </c>
      <c r="M1194" s="17">
        <v>24.3</v>
      </c>
      <c r="N1194" s="17">
        <f t="shared" si="54"/>
        <v>316.2</v>
      </c>
      <c r="O1194" s="17">
        <v>214.6</v>
      </c>
      <c r="P1194" s="17">
        <v>300.89999999999998</v>
      </c>
      <c r="Q1194" s="17">
        <v>197.7</v>
      </c>
      <c r="R1194" s="17">
        <f t="shared" si="55"/>
        <v>118.5</v>
      </c>
      <c r="S1194" s="17">
        <v>137.1</v>
      </c>
      <c r="T1194" s="17">
        <f t="shared" si="56"/>
        <v>77.5</v>
      </c>
    </row>
    <row r="1195" spans="1:20" x14ac:dyDescent="0.35">
      <c r="A1195" s="14" t="s">
        <v>103</v>
      </c>
      <c r="B1195" s="15" t="s">
        <v>104</v>
      </c>
      <c r="C1195" s="15" t="s">
        <v>93</v>
      </c>
      <c r="D1195" s="15" t="s">
        <v>96</v>
      </c>
      <c r="E1195" s="15" t="s">
        <v>92</v>
      </c>
      <c r="F1195" s="15" t="s">
        <v>67</v>
      </c>
      <c r="G1195" s="15" t="s">
        <v>76</v>
      </c>
      <c r="H1195" s="15" t="s">
        <v>72</v>
      </c>
      <c r="I1195" s="16">
        <v>11653</v>
      </c>
      <c r="J1195" s="16">
        <v>8307</v>
      </c>
      <c r="K1195" s="16">
        <v>11250</v>
      </c>
      <c r="L1195" s="17">
        <v>113</v>
      </c>
      <c r="M1195" s="17">
        <v>8.4</v>
      </c>
      <c r="N1195" s="17">
        <f t="shared" si="54"/>
        <v>104.6</v>
      </c>
      <c r="O1195" s="17">
        <v>68.900000000000006</v>
      </c>
      <c r="P1195" s="17">
        <v>100.3</v>
      </c>
      <c r="Q1195" s="17">
        <v>64.400000000000006</v>
      </c>
      <c r="R1195" s="17">
        <f t="shared" si="55"/>
        <v>40.199999999999989</v>
      </c>
      <c r="S1195" s="17">
        <v>43.2</v>
      </c>
      <c r="T1195" s="17">
        <f t="shared" si="56"/>
        <v>25.700000000000003</v>
      </c>
    </row>
    <row r="1196" spans="1:20" x14ac:dyDescent="0.35">
      <c r="A1196" s="14" t="s">
        <v>103</v>
      </c>
      <c r="B1196" s="15" t="s">
        <v>104</v>
      </c>
      <c r="C1196" s="15" t="s">
        <v>93</v>
      </c>
      <c r="D1196" s="15" t="s">
        <v>96</v>
      </c>
      <c r="E1196" s="15" t="s">
        <v>92</v>
      </c>
      <c r="F1196" s="15" t="s">
        <v>79</v>
      </c>
      <c r="G1196" s="15" t="s">
        <v>95</v>
      </c>
      <c r="H1196" s="15" t="s">
        <v>71</v>
      </c>
      <c r="I1196" s="16">
        <v>55203</v>
      </c>
      <c r="J1196" s="16">
        <v>40008</v>
      </c>
      <c r="K1196" s="16">
        <v>53143</v>
      </c>
      <c r="L1196" s="17">
        <v>205</v>
      </c>
      <c r="M1196" s="17">
        <v>18.2</v>
      </c>
      <c r="N1196" s="17">
        <f t="shared" si="54"/>
        <v>186.8</v>
      </c>
      <c r="O1196" s="17">
        <v>125.9</v>
      </c>
      <c r="P1196" s="17">
        <v>179.9</v>
      </c>
      <c r="Q1196" s="17">
        <v>113.1</v>
      </c>
      <c r="R1196" s="17">
        <f t="shared" si="55"/>
        <v>73.700000000000017</v>
      </c>
      <c r="S1196" s="17">
        <v>76.900000000000006</v>
      </c>
      <c r="T1196" s="17">
        <f t="shared" si="56"/>
        <v>49</v>
      </c>
    </row>
    <row r="1197" spans="1:20" x14ac:dyDescent="0.35">
      <c r="A1197" s="14" t="s">
        <v>103</v>
      </c>
      <c r="B1197" s="15" t="s">
        <v>104</v>
      </c>
      <c r="C1197" s="15" t="s">
        <v>93</v>
      </c>
      <c r="D1197" s="15" t="s">
        <v>96</v>
      </c>
      <c r="E1197" s="15" t="s">
        <v>92</v>
      </c>
      <c r="F1197" s="15" t="s">
        <v>81</v>
      </c>
      <c r="G1197" s="15" t="s">
        <v>82</v>
      </c>
      <c r="H1197" s="15" t="s">
        <v>71</v>
      </c>
      <c r="I1197" s="16">
        <v>18911</v>
      </c>
      <c r="J1197" s="16">
        <v>13374</v>
      </c>
      <c r="K1197" s="16">
        <v>18249</v>
      </c>
      <c r="L1197" s="17">
        <v>147.1</v>
      </c>
      <c r="M1197" s="17">
        <v>11</v>
      </c>
      <c r="N1197" s="17">
        <f t="shared" si="54"/>
        <v>136.1</v>
      </c>
      <c r="O1197" s="17">
        <v>89.1</v>
      </c>
      <c r="P1197" s="17">
        <v>130</v>
      </c>
      <c r="Q1197" s="17">
        <v>82.7</v>
      </c>
      <c r="R1197" s="17">
        <f t="shared" si="55"/>
        <v>53.399999999999991</v>
      </c>
      <c r="S1197" s="17">
        <v>55.2</v>
      </c>
      <c r="T1197" s="17">
        <f t="shared" si="56"/>
        <v>33.899999999999991</v>
      </c>
    </row>
    <row r="1198" spans="1:20" x14ac:dyDescent="0.35">
      <c r="A1198" s="14" t="s">
        <v>103</v>
      </c>
      <c r="B1198" s="15" t="s">
        <v>104</v>
      </c>
      <c r="C1198" s="15" t="s">
        <v>93</v>
      </c>
      <c r="D1198" s="15" t="s">
        <v>96</v>
      </c>
      <c r="E1198" s="15" t="s">
        <v>92</v>
      </c>
      <c r="F1198" s="15" t="s">
        <v>83</v>
      </c>
      <c r="G1198" s="15" t="s">
        <v>84</v>
      </c>
      <c r="H1198" s="15" t="s">
        <v>72</v>
      </c>
      <c r="I1198" s="16">
        <v>8623</v>
      </c>
      <c r="J1198" s="16">
        <v>5705</v>
      </c>
      <c r="K1198" s="16">
        <v>8291</v>
      </c>
      <c r="L1198" s="17">
        <v>213.3</v>
      </c>
      <c r="M1198" s="17">
        <v>17.5</v>
      </c>
      <c r="N1198" s="17">
        <f t="shared" si="54"/>
        <v>195.8</v>
      </c>
      <c r="O1198" s="17">
        <v>119.5</v>
      </c>
      <c r="P1198" s="17">
        <v>186.7</v>
      </c>
      <c r="Q1198" s="17">
        <v>115.5</v>
      </c>
      <c r="R1198" s="17">
        <f t="shared" si="55"/>
        <v>80.300000000000011</v>
      </c>
      <c r="S1198" s="17">
        <v>71.400000000000006</v>
      </c>
      <c r="T1198" s="17">
        <f t="shared" si="56"/>
        <v>48.099999999999994</v>
      </c>
    </row>
    <row r="1199" spans="1:20" x14ac:dyDescent="0.35">
      <c r="A1199" s="14" t="s">
        <v>103</v>
      </c>
      <c r="B1199" s="15" t="s">
        <v>104</v>
      </c>
      <c r="C1199" s="15" t="s">
        <v>93</v>
      </c>
      <c r="D1199" s="15" t="s">
        <v>97</v>
      </c>
      <c r="E1199" s="15" t="s">
        <v>66</v>
      </c>
      <c r="F1199" s="15" t="s">
        <v>67</v>
      </c>
      <c r="G1199" s="15" t="s">
        <v>68</v>
      </c>
      <c r="H1199" s="15" t="s">
        <v>69</v>
      </c>
      <c r="I1199" s="16">
        <v>104643</v>
      </c>
      <c r="J1199" s="16">
        <v>94739</v>
      </c>
      <c r="K1199" s="16">
        <v>100873</v>
      </c>
      <c r="L1199" s="17">
        <v>515.70000000000005</v>
      </c>
      <c r="M1199" s="17">
        <v>71.5</v>
      </c>
      <c r="N1199" s="17">
        <f t="shared" si="54"/>
        <v>444.20000000000005</v>
      </c>
      <c r="O1199" s="17">
        <v>385.6</v>
      </c>
      <c r="P1199" s="17">
        <v>430.3</v>
      </c>
      <c r="Q1199" s="17">
        <v>249.5</v>
      </c>
      <c r="R1199" s="17">
        <f t="shared" si="55"/>
        <v>194.70000000000005</v>
      </c>
      <c r="S1199" s="17">
        <v>221.8</v>
      </c>
      <c r="T1199" s="17">
        <f t="shared" si="56"/>
        <v>163.80000000000001</v>
      </c>
    </row>
    <row r="1200" spans="1:20" x14ac:dyDescent="0.35">
      <c r="A1200" s="14" t="s">
        <v>103</v>
      </c>
      <c r="B1200" s="15" t="s">
        <v>104</v>
      </c>
      <c r="C1200" s="15" t="s">
        <v>93</v>
      </c>
      <c r="D1200" s="15" t="s">
        <v>97</v>
      </c>
      <c r="E1200" s="15" t="s">
        <v>66</v>
      </c>
      <c r="F1200" s="15" t="s">
        <v>67</v>
      </c>
      <c r="G1200" s="15" t="s">
        <v>68</v>
      </c>
      <c r="H1200" s="15" t="s">
        <v>70</v>
      </c>
      <c r="I1200" s="16">
        <v>152846</v>
      </c>
      <c r="J1200" s="16">
        <v>134944</v>
      </c>
      <c r="K1200" s="16">
        <v>149545</v>
      </c>
      <c r="L1200" s="17">
        <v>857.4</v>
      </c>
      <c r="M1200" s="17">
        <v>113.9</v>
      </c>
      <c r="N1200" s="17">
        <f t="shared" si="54"/>
        <v>743.5</v>
      </c>
      <c r="O1200" s="17">
        <v>624.9</v>
      </c>
      <c r="P1200" s="17">
        <v>708.2</v>
      </c>
      <c r="Q1200" s="17">
        <v>417</v>
      </c>
      <c r="R1200" s="17">
        <f t="shared" si="55"/>
        <v>326.5</v>
      </c>
      <c r="S1200" s="17">
        <v>358</v>
      </c>
      <c r="T1200" s="17">
        <f t="shared" si="56"/>
        <v>266.89999999999998</v>
      </c>
    </row>
    <row r="1201" spans="1:20" x14ac:dyDescent="0.35">
      <c r="A1201" s="14" t="s">
        <v>103</v>
      </c>
      <c r="B1201" s="15" t="s">
        <v>104</v>
      </c>
      <c r="C1201" s="15" t="s">
        <v>93</v>
      </c>
      <c r="D1201" s="15" t="s">
        <v>97</v>
      </c>
      <c r="E1201" s="15" t="s">
        <v>66</v>
      </c>
      <c r="F1201" s="15" t="s">
        <v>67</v>
      </c>
      <c r="G1201" s="15" t="s">
        <v>68</v>
      </c>
      <c r="H1201" s="15" t="s">
        <v>71</v>
      </c>
      <c r="I1201" s="16">
        <v>342909</v>
      </c>
      <c r="J1201" s="16">
        <v>306794</v>
      </c>
      <c r="K1201" s="16">
        <v>332834</v>
      </c>
      <c r="L1201" s="17">
        <v>2347.4</v>
      </c>
      <c r="M1201" s="17">
        <v>310.5</v>
      </c>
      <c r="N1201" s="17">
        <f t="shared" si="54"/>
        <v>2036.9</v>
      </c>
      <c r="O1201" s="17">
        <v>1719.6</v>
      </c>
      <c r="P1201" s="17">
        <v>1957.7</v>
      </c>
      <c r="Q1201" s="17">
        <v>1265.7</v>
      </c>
      <c r="R1201" s="17">
        <f t="shared" si="55"/>
        <v>771.2</v>
      </c>
      <c r="S1201" s="17">
        <v>1080.9000000000001</v>
      </c>
      <c r="T1201" s="17">
        <f t="shared" si="56"/>
        <v>638.69999999999982</v>
      </c>
    </row>
    <row r="1202" spans="1:20" x14ac:dyDescent="0.35">
      <c r="A1202" s="14" t="s">
        <v>103</v>
      </c>
      <c r="B1202" s="15" t="s">
        <v>104</v>
      </c>
      <c r="C1202" s="15" t="s">
        <v>93</v>
      </c>
      <c r="D1202" s="15" t="s">
        <v>97</v>
      </c>
      <c r="E1202" s="15" t="s">
        <v>66</v>
      </c>
      <c r="F1202" s="15" t="s">
        <v>67</v>
      </c>
      <c r="G1202" s="15" t="s">
        <v>68</v>
      </c>
      <c r="H1202" s="15" t="s">
        <v>72</v>
      </c>
      <c r="I1202" s="16">
        <v>128142</v>
      </c>
      <c r="J1202" s="16">
        <v>111558</v>
      </c>
      <c r="K1202" s="16">
        <v>123829</v>
      </c>
      <c r="L1202" s="17">
        <v>1239.0999999999999</v>
      </c>
      <c r="M1202" s="17">
        <v>164.5</v>
      </c>
      <c r="N1202" s="17">
        <f t="shared" si="54"/>
        <v>1074.5999999999999</v>
      </c>
      <c r="O1202" s="17">
        <v>897.9</v>
      </c>
      <c r="P1202" s="17">
        <v>1025.9000000000001</v>
      </c>
      <c r="Q1202" s="17">
        <v>689.1</v>
      </c>
      <c r="R1202" s="17">
        <f t="shared" si="55"/>
        <v>385.49999999999989</v>
      </c>
      <c r="S1202" s="17">
        <v>582.79999999999995</v>
      </c>
      <c r="T1202" s="17">
        <f t="shared" si="56"/>
        <v>315.10000000000002</v>
      </c>
    </row>
    <row r="1203" spans="1:20" x14ac:dyDescent="0.35">
      <c r="A1203" s="14" t="s">
        <v>103</v>
      </c>
      <c r="B1203" s="15" t="s">
        <v>104</v>
      </c>
      <c r="C1203" s="15" t="s">
        <v>93</v>
      </c>
      <c r="D1203" s="15" t="s">
        <v>97</v>
      </c>
      <c r="E1203" s="15" t="s">
        <v>66</v>
      </c>
      <c r="F1203" s="15" t="s">
        <v>67</v>
      </c>
      <c r="G1203" s="15" t="s">
        <v>73</v>
      </c>
      <c r="H1203" s="15" t="s">
        <v>71</v>
      </c>
      <c r="I1203" s="16">
        <v>87990</v>
      </c>
      <c r="J1203" s="16">
        <v>71495</v>
      </c>
      <c r="K1203" s="16">
        <v>84808</v>
      </c>
      <c r="L1203" s="17">
        <v>624.20000000000005</v>
      </c>
      <c r="M1203" s="17">
        <v>92.4</v>
      </c>
      <c r="N1203" s="17">
        <f t="shared" si="54"/>
        <v>531.80000000000007</v>
      </c>
      <c r="O1203" s="17">
        <v>412</v>
      </c>
      <c r="P1203" s="17">
        <v>509.8</v>
      </c>
      <c r="Q1203" s="17">
        <v>331.6</v>
      </c>
      <c r="R1203" s="17">
        <f t="shared" si="55"/>
        <v>200.20000000000005</v>
      </c>
      <c r="S1203" s="17">
        <v>260.3</v>
      </c>
      <c r="T1203" s="17">
        <f t="shared" si="56"/>
        <v>151.69999999999999</v>
      </c>
    </row>
    <row r="1204" spans="1:20" x14ac:dyDescent="0.35">
      <c r="A1204" s="14" t="s">
        <v>103</v>
      </c>
      <c r="B1204" s="15" t="s">
        <v>104</v>
      </c>
      <c r="C1204" s="15" t="s">
        <v>93</v>
      </c>
      <c r="D1204" s="15" t="s">
        <v>97</v>
      </c>
      <c r="E1204" s="15" t="s">
        <v>66</v>
      </c>
      <c r="F1204" s="15" t="s">
        <v>67</v>
      </c>
      <c r="G1204" s="15" t="s">
        <v>73</v>
      </c>
      <c r="H1204" s="15" t="s">
        <v>72</v>
      </c>
      <c r="I1204" s="16">
        <v>46138</v>
      </c>
      <c r="J1204" s="16">
        <v>36799</v>
      </c>
      <c r="K1204" s="16">
        <v>45109</v>
      </c>
      <c r="L1204" s="17">
        <v>438.1</v>
      </c>
      <c r="M1204" s="17">
        <v>64.400000000000006</v>
      </c>
      <c r="N1204" s="17">
        <f t="shared" si="54"/>
        <v>373.70000000000005</v>
      </c>
      <c r="O1204" s="17">
        <v>286.5</v>
      </c>
      <c r="P1204" s="17">
        <v>358.6</v>
      </c>
      <c r="Q1204" s="17">
        <v>237.3</v>
      </c>
      <c r="R1204" s="17">
        <f t="shared" si="55"/>
        <v>136.40000000000003</v>
      </c>
      <c r="S1204" s="17">
        <v>183.3</v>
      </c>
      <c r="T1204" s="17">
        <f t="shared" si="56"/>
        <v>103.19999999999999</v>
      </c>
    </row>
    <row r="1205" spans="1:20" x14ac:dyDescent="0.35">
      <c r="A1205" s="14" t="s">
        <v>103</v>
      </c>
      <c r="B1205" s="15" t="s">
        <v>104</v>
      </c>
      <c r="C1205" s="15" t="s">
        <v>93</v>
      </c>
      <c r="D1205" s="15" t="s">
        <v>97</v>
      </c>
      <c r="E1205" s="15" t="s">
        <v>66</v>
      </c>
      <c r="F1205" s="15" t="s">
        <v>67</v>
      </c>
      <c r="G1205" s="15" t="s">
        <v>74</v>
      </c>
      <c r="H1205" s="15" t="s">
        <v>70</v>
      </c>
      <c r="I1205" s="16">
        <v>74201</v>
      </c>
      <c r="J1205" s="16">
        <v>64061</v>
      </c>
      <c r="K1205" s="16">
        <v>72468</v>
      </c>
      <c r="L1205" s="17">
        <v>418.9</v>
      </c>
      <c r="M1205" s="17">
        <v>59</v>
      </c>
      <c r="N1205" s="17">
        <f t="shared" si="54"/>
        <v>359.9</v>
      </c>
      <c r="O1205" s="17">
        <v>296.5</v>
      </c>
      <c r="P1205" s="17">
        <v>347.9</v>
      </c>
      <c r="Q1205" s="17">
        <v>207</v>
      </c>
      <c r="R1205" s="17">
        <f t="shared" si="55"/>
        <v>152.89999999999998</v>
      </c>
      <c r="S1205" s="17">
        <v>173.6</v>
      </c>
      <c r="T1205" s="17">
        <f t="shared" si="56"/>
        <v>122.9</v>
      </c>
    </row>
    <row r="1206" spans="1:20" x14ac:dyDescent="0.35">
      <c r="A1206" s="14" t="s">
        <v>103</v>
      </c>
      <c r="B1206" s="15" t="s">
        <v>104</v>
      </c>
      <c r="C1206" s="15" t="s">
        <v>93</v>
      </c>
      <c r="D1206" s="15" t="s">
        <v>97</v>
      </c>
      <c r="E1206" s="15" t="s">
        <v>66</v>
      </c>
      <c r="F1206" s="15" t="s">
        <v>67</v>
      </c>
      <c r="G1206" s="15" t="s">
        <v>74</v>
      </c>
      <c r="H1206" s="15" t="s">
        <v>71</v>
      </c>
      <c r="I1206" s="16">
        <v>141555</v>
      </c>
      <c r="J1206" s="16">
        <v>126144</v>
      </c>
      <c r="K1206" s="16">
        <v>136417</v>
      </c>
      <c r="L1206" s="17">
        <v>978.9</v>
      </c>
      <c r="M1206" s="17">
        <v>143.19999999999999</v>
      </c>
      <c r="N1206" s="17">
        <f t="shared" si="54"/>
        <v>835.7</v>
      </c>
      <c r="O1206" s="17">
        <v>714.1</v>
      </c>
      <c r="P1206" s="17">
        <v>797.8</v>
      </c>
      <c r="Q1206" s="17">
        <v>520.5</v>
      </c>
      <c r="R1206" s="17">
        <f t="shared" si="55"/>
        <v>315.20000000000005</v>
      </c>
      <c r="S1206" s="17">
        <v>454.5</v>
      </c>
      <c r="T1206" s="17">
        <f t="shared" si="56"/>
        <v>259.60000000000002</v>
      </c>
    </row>
    <row r="1207" spans="1:20" x14ac:dyDescent="0.35">
      <c r="A1207" s="14" t="s">
        <v>103</v>
      </c>
      <c r="B1207" s="15" t="s">
        <v>104</v>
      </c>
      <c r="C1207" s="15" t="s">
        <v>93</v>
      </c>
      <c r="D1207" s="15" t="s">
        <v>97</v>
      </c>
      <c r="E1207" s="15" t="s">
        <v>66</v>
      </c>
      <c r="F1207" s="15" t="s">
        <v>67</v>
      </c>
      <c r="G1207" s="15" t="s">
        <v>75</v>
      </c>
      <c r="H1207" s="15" t="s">
        <v>71</v>
      </c>
      <c r="I1207" s="16">
        <v>123562</v>
      </c>
      <c r="J1207" s="16">
        <v>107981</v>
      </c>
      <c r="K1207" s="16">
        <v>120093</v>
      </c>
      <c r="L1207" s="17">
        <v>864.1</v>
      </c>
      <c r="M1207" s="17">
        <v>117</v>
      </c>
      <c r="N1207" s="17">
        <f t="shared" si="54"/>
        <v>747.1</v>
      </c>
      <c r="O1207" s="17">
        <v>624</v>
      </c>
      <c r="P1207" s="17">
        <v>723.9</v>
      </c>
      <c r="Q1207" s="17">
        <v>465.5</v>
      </c>
      <c r="R1207" s="17">
        <f t="shared" si="55"/>
        <v>281.60000000000002</v>
      </c>
      <c r="S1207" s="17">
        <v>392.5</v>
      </c>
      <c r="T1207" s="17">
        <f t="shared" si="56"/>
        <v>231.5</v>
      </c>
    </row>
    <row r="1208" spans="1:20" x14ac:dyDescent="0.35">
      <c r="A1208" s="14" t="s">
        <v>103</v>
      </c>
      <c r="B1208" s="15" t="s">
        <v>104</v>
      </c>
      <c r="C1208" s="15" t="s">
        <v>93</v>
      </c>
      <c r="D1208" s="15" t="s">
        <v>97</v>
      </c>
      <c r="E1208" s="15" t="s">
        <v>66</v>
      </c>
      <c r="F1208" s="15" t="s">
        <v>67</v>
      </c>
      <c r="G1208" s="15" t="s">
        <v>76</v>
      </c>
      <c r="H1208" s="15" t="s">
        <v>72</v>
      </c>
      <c r="I1208" s="16">
        <v>33304</v>
      </c>
      <c r="J1208" s="16">
        <v>28310</v>
      </c>
      <c r="K1208" s="16">
        <v>32382</v>
      </c>
      <c r="L1208" s="17">
        <v>378.8</v>
      </c>
      <c r="M1208" s="17">
        <v>55.8</v>
      </c>
      <c r="N1208" s="17">
        <f t="shared" si="54"/>
        <v>323</v>
      </c>
      <c r="O1208" s="17">
        <v>259.2</v>
      </c>
      <c r="P1208" s="17">
        <v>309.5</v>
      </c>
      <c r="Q1208" s="17">
        <v>202.9</v>
      </c>
      <c r="R1208" s="17">
        <f t="shared" si="55"/>
        <v>120.1</v>
      </c>
      <c r="S1208" s="17">
        <v>166.5</v>
      </c>
      <c r="T1208" s="17">
        <f t="shared" si="56"/>
        <v>92.699999999999989</v>
      </c>
    </row>
    <row r="1209" spans="1:20" x14ac:dyDescent="0.35">
      <c r="A1209" s="14" t="s">
        <v>103</v>
      </c>
      <c r="B1209" s="15" t="s">
        <v>104</v>
      </c>
      <c r="C1209" s="15" t="s">
        <v>93</v>
      </c>
      <c r="D1209" s="15" t="s">
        <v>97</v>
      </c>
      <c r="E1209" s="15" t="s">
        <v>66</v>
      </c>
      <c r="F1209" s="15" t="s">
        <v>79</v>
      </c>
      <c r="G1209" s="15" t="s">
        <v>95</v>
      </c>
      <c r="H1209" s="15" t="s">
        <v>71</v>
      </c>
      <c r="I1209" s="16">
        <v>111769</v>
      </c>
      <c r="J1209" s="16">
        <v>95543</v>
      </c>
      <c r="K1209" s="16">
        <v>108003</v>
      </c>
      <c r="L1209" s="17">
        <v>465.4</v>
      </c>
      <c r="M1209" s="17">
        <v>60.8</v>
      </c>
      <c r="N1209" s="17">
        <f t="shared" si="54"/>
        <v>404.59999999999997</v>
      </c>
      <c r="O1209" s="17">
        <v>328.7</v>
      </c>
      <c r="P1209" s="17">
        <v>388.4</v>
      </c>
      <c r="Q1209" s="17">
        <v>240.4</v>
      </c>
      <c r="R1209" s="17">
        <f t="shared" si="55"/>
        <v>164.19999999999996</v>
      </c>
      <c r="S1209" s="17">
        <v>197.9</v>
      </c>
      <c r="T1209" s="17">
        <f t="shared" si="56"/>
        <v>130.79999999999998</v>
      </c>
    </row>
    <row r="1210" spans="1:20" x14ac:dyDescent="0.35">
      <c r="A1210" s="14" t="s">
        <v>103</v>
      </c>
      <c r="B1210" s="15" t="s">
        <v>104</v>
      </c>
      <c r="C1210" s="15" t="s">
        <v>93</v>
      </c>
      <c r="D1210" s="15" t="s">
        <v>97</v>
      </c>
      <c r="E1210" s="15" t="s">
        <v>66</v>
      </c>
      <c r="F1210" s="15" t="s">
        <v>81</v>
      </c>
      <c r="G1210" s="15" t="s">
        <v>82</v>
      </c>
      <c r="H1210" s="15" t="s">
        <v>71</v>
      </c>
      <c r="I1210" s="16">
        <v>40011</v>
      </c>
      <c r="J1210" s="16">
        <v>34306</v>
      </c>
      <c r="K1210" s="16">
        <v>38591</v>
      </c>
      <c r="L1210" s="17">
        <v>367.2</v>
      </c>
      <c r="M1210" s="17">
        <v>51.8</v>
      </c>
      <c r="N1210" s="17">
        <f t="shared" si="54"/>
        <v>315.39999999999998</v>
      </c>
      <c r="O1210" s="17">
        <v>257.10000000000002</v>
      </c>
      <c r="P1210" s="17">
        <v>302.3</v>
      </c>
      <c r="Q1210" s="17">
        <v>194.7</v>
      </c>
      <c r="R1210" s="17">
        <f t="shared" si="55"/>
        <v>120.69999999999999</v>
      </c>
      <c r="S1210" s="17">
        <v>159.80000000000001</v>
      </c>
      <c r="T1210" s="17">
        <f t="shared" si="56"/>
        <v>97.300000000000011</v>
      </c>
    </row>
    <row r="1211" spans="1:20" x14ac:dyDescent="0.35">
      <c r="A1211" s="14" t="s">
        <v>103</v>
      </c>
      <c r="B1211" s="15" t="s">
        <v>104</v>
      </c>
      <c r="C1211" s="15" t="s">
        <v>93</v>
      </c>
      <c r="D1211" s="15" t="s">
        <v>97</v>
      </c>
      <c r="E1211" s="15" t="s">
        <v>66</v>
      </c>
      <c r="F1211" s="15" t="s">
        <v>83</v>
      </c>
      <c r="G1211" s="15" t="s">
        <v>84</v>
      </c>
      <c r="H1211" s="15" t="s">
        <v>72</v>
      </c>
      <c r="I1211" s="16">
        <v>39603</v>
      </c>
      <c r="J1211" s="16">
        <v>30701</v>
      </c>
      <c r="K1211" s="16">
        <v>38520</v>
      </c>
      <c r="L1211" s="17">
        <v>1119.5</v>
      </c>
      <c r="M1211" s="17">
        <v>159.30000000000001</v>
      </c>
      <c r="N1211" s="17">
        <f t="shared" si="54"/>
        <v>960.2</v>
      </c>
      <c r="O1211" s="17">
        <v>705.7</v>
      </c>
      <c r="P1211" s="17">
        <v>926.6</v>
      </c>
      <c r="Q1211" s="17">
        <v>548.79999999999995</v>
      </c>
      <c r="R1211" s="17">
        <f t="shared" si="55"/>
        <v>411.40000000000009</v>
      </c>
      <c r="S1211" s="17">
        <v>407.4</v>
      </c>
      <c r="T1211" s="17">
        <f t="shared" si="56"/>
        <v>298.30000000000007</v>
      </c>
    </row>
    <row r="1212" spans="1:20" x14ac:dyDescent="0.35">
      <c r="A1212" s="14" t="s">
        <v>103</v>
      </c>
      <c r="B1212" s="15" t="s">
        <v>104</v>
      </c>
      <c r="C1212" s="15" t="s">
        <v>93</v>
      </c>
      <c r="D1212" s="15" t="s">
        <v>97</v>
      </c>
      <c r="E1212" s="15" t="s">
        <v>89</v>
      </c>
      <c r="F1212" s="15" t="s">
        <v>67</v>
      </c>
      <c r="G1212" s="15" t="s">
        <v>68</v>
      </c>
      <c r="H1212" s="15" t="s">
        <v>69</v>
      </c>
      <c r="I1212" s="16">
        <v>661260</v>
      </c>
      <c r="J1212" s="16">
        <v>607216</v>
      </c>
      <c r="K1212" s="16">
        <v>641224</v>
      </c>
      <c r="L1212" s="17">
        <v>3149.5</v>
      </c>
      <c r="M1212" s="17">
        <v>232.4</v>
      </c>
      <c r="N1212" s="17">
        <f t="shared" si="54"/>
        <v>2917.1</v>
      </c>
      <c r="O1212" s="17">
        <v>2561.9</v>
      </c>
      <c r="P1212" s="17">
        <v>2818.2</v>
      </c>
      <c r="Q1212" s="17">
        <v>1640.7</v>
      </c>
      <c r="R1212" s="17">
        <f t="shared" si="55"/>
        <v>1276.3999999999999</v>
      </c>
      <c r="S1212" s="17">
        <v>1477</v>
      </c>
      <c r="T1212" s="17">
        <f t="shared" si="56"/>
        <v>1084.9000000000001</v>
      </c>
    </row>
    <row r="1213" spans="1:20" x14ac:dyDescent="0.35">
      <c r="A1213" s="14" t="s">
        <v>103</v>
      </c>
      <c r="B1213" s="15" t="s">
        <v>104</v>
      </c>
      <c r="C1213" s="15" t="s">
        <v>93</v>
      </c>
      <c r="D1213" s="15" t="s">
        <v>97</v>
      </c>
      <c r="E1213" s="15" t="s">
        <v>89</v>
      </c>
      <c r="F1213" s="15" t="s">
        <v>67</v>
      </c>
      <c r="G1213" s="15" t="s">
        <v>68</v>
      </c>
      <c r="H1213" s="15" t="s">
        <v>70</v>
      </c>
      <c r="I1213" s="16">
        <v>528347</v>
      </c>
      <c r="J1213" s="16">
        <v>466445</v>
      </c>
      <c r="K1213" s="16">
        <v>514914</v>
      </c>
      <c r="L1213" s="17">
        <v>2805</v>
      </c>
      <c r="M1213" s="17">
        <v>182.5</v>
      </c>
      <c r="N1213" s="17">
        <f t="shared" si="54"/>
        <v>2622.5</v>
      </c>
      <c r="O1213" s="17">
        <v>2198.9</v>
      </c>
      <c r="P1213" s="17">
        <v>2515.8000000000002</v>
      </c>
      <c r="Q1213" s="17">
        <v>1461.2</v>
      </c>
      <c r="R1213" s="17">
        <f t="shared" si="55"/>
        <v>1161.3</v>
      </c>
      <c r="S1213" s="17">
        <v>1235</v>
      </c>
      <c r="T1213" s="17">
        <f t="shared" si="56"/>
        <v>963.90000000000009</v>
      </c>
    </row>
    <row r="1214" spans="1:20" x14ac:dyDescent="0.35">
      <c r="A1214" s="14" t="s">
        <v>103</v>
      </c>
      <c r="B1214" s="15" t="s">
        <v>104</v>
      </c>
      <c r="C1214" s="15" t="s">
        <v>93</v>
      </c>
      <c r="D1214" s="15" t="s">
        <v>97</v>
      </c>
      <c r="E1214" s="15" t="s">
        <v>89</v>
      </c>
      <c r="F1214" s="15" t="s">
        <v>67</v>
      </c>
      <c r="G1214" s="15" t="s">
        <v>68</v>
      </c>
      <c r="H1214" s="15" t="s">
        <v>71</v>
      </c>
      <c r="I1214" s="16">
        <v>468595</v>
      </c>
      <c r="J1214" s="16">
        <v>423573</v>
      </c>
      <c r="K1214" s="16">
        <v>457150</v>
      </c>
      <c r="L1214" s="17">
        <v>3208.1</v>
      </c>
      <c r="M1214" s="17">
        <v>245.2</v>
      </c>
      <c r="N1214" s="17">
        <f t="shared" si="54"/>
        <v>2962.9</v>
      </c>
      <c r="O1214" s="17">
        <v>2572.6999999999998</v>
      </c>
      <c r="P1214" s="17">
        <v>2865.9</v>
      </c>
      <c r="Q1214" s="17">
        <v>1830.5</v>
      </c>
      <c r="R1214" s="17">
        <f t="shared" si="55"/>
        <v>1132.4000000000001</v>
      </c>
      <c r="S1214" s="17">
        <v>1626.1</v>
      </c>
      <c r="T1214" s="17">
        <f t="shared" si="56"/>
        <v>946.59999999999991</v>
      </c>
    </row>
    <row r="1215" spans="1:20" x14ac:dyDescent="0.35">
      <c r="A1215" s="14" t="s">
        <v>103</v>
      </c>
      <c r="B1215" s="15" t="s">
        <v>104</v>
      </c>
      <c r="C1215" s="15" t="s">
        <v>93</v>
      </c>
      <c r="D1215" s="15" t="s">
        <v>97</v>
      </c>
      <c r="E1215" s="15" t="s">
        <v>89</v>
      </c>
      <c r="F1215" s="15" t="s">
        <v>67</v>
      </c>
      <c r="G1215" s="15" t="s">
        <v>68</v>
      </c>
      <c r="H1215" s="15" t="s">
        <v>72</v>
      </c>
      <c r="I1215" s="16">
        <v>97928</v>
      </c>
      <c r="J1215" s="16">
        <v>86402</v>
      </c>
      <c r="K1215" s="16">
        <v>94521</v>
      </c>
      <c r="L1215" s="17">
        <v>921.4</v>
      </c>
      <c r="M1215" s="17">
        <v>71.5</v>
      </c>
      <c r="N1215" s="17">
        <f t="shared" si="54"/>
        <v>849.9</v>
      </c>
      <c r="O1215" s="17">
        <v>714</v>
      </c>
      <c r="P1215" s="17">
        <v>818.2</v>
      </c>
      <c r="Q1215" s="17">
        <v>539.1</v>
      </c>
      <c r="R1215" s="17">
        <f t="shared" si="55"/>
        <v>310.79999999999995</v>
      </c>
      <c r="S1215" s="17">
        <v>460.7</v>
      </c>
      <c r="T1215" s="17">
        <f t="shared" si="56"/>
        <v>253.3</v>
      </c>
    </row>
    <row r="1216" spans="1:20" x14ac:dyDescent="0.35">
      <c r="A1216" s="14" t="s">
        <v>103</v>
      </c>
      <c r="B1216" s="15" t="s">
        <v>104</v>
      </c>
      <c r="C1216" s="15" t="s">
        <v>93</v>
      </c>
      <c r="D1216" s="15" t="s">
        <v>97</v>
      </c>
      <c r="E1216" s="15" t="s">
        <v>89</v>
      </c>
      <c r="F1216" s="15" t="s">
        <v>67</v>
      </c>
      <c r="G1216" s="15" t="s">
        <v>73</v>
      </c>
      <c r="H1216" s="15" t="s">
        <v>71</v>
      </c>
      <c r="I1216" s="16">
        <v>109846</v>
      </c>
      <c r="J1216" s="16">
        <v>90488</v>
      </c>
      <c r="K1216" s="16">
        <v>107288</v>
      </c>
      <c r="L1216" s="17">
        <v>772.1</v>
      </c>
      <c r="M1216" s="17">
        <v>61.6</v>
      </c>
      <c r="N1216" s="17">
        <f t="shared" si="54"/>
        <v>710.5</v>
      </c>
      <c r="O1216" s="17">
        <v>556.1</v>
      </c>
      <c r="P1216" s="17">
        <v>679.4</v>
      </c>
      <c r="Q1216" s="17">
        <v>443.3</v>
      </c>
      <c r="R1216" s="17">
        <f t="shared" si="55"/>
        <v>267.2</v>
      </c>
      <c r="S1216" s="17">
        <v>351.2</v>
      </c>
      <c r="T1216" s="17">
        <f t="shared" si="56"/>
        <v>204.90000000000003</v>
      </c>
    </row>
    <row r="1217" spans="1:20" x14ac:dyDescent="0.35">
      <c r="A1217" s="14" t="s">
        <v>103</v>
      </c>
      <c r="B1217" s="15" t="s">
        <v>104</v>
      </c>
      <c r="C1217" s="15" t="s">
        <v>93</v>
      </c>
      <c r="D1217" s="15" t="s">
        <v>97</v>
      </c>
      <c r="E1217" s="15" t="s">
        <v>89</v>
      </c>
      <c r="F1217" s="15" t="s">
        <v>67</v>
      </c>
      <c r="G1217" s="15" t="s">
        <v>73</v>
      </c>
      <c r="H1217" s="15" t="s">
        <v>72</v>
      </c>
      <c r="I1217" s="16">
        <v>31278</v>
      </c>
      <c r="J1217" s="16">
        <v>25659</v>
      </c>
      <c r="K1217" s="16">
        <v>30145</v>
      </c>
      <c r="L1217" s="17">
        <v>292.2</v>
      </c>
      <c r="M1217" s="17">
        <v>22.1</v>
      </c>
      <c r="N1217" s="17">
        <f t="shared" si="54"/>
        <v>270.09999999999997</v>
      </c>
      <c r="O1217" s="17">
        <v>210.5</v>
      </c>
      <c r="P1217" s="17">
        <v>257.39999999999998</v>
      </c>
      <c r="Q1217" s="17">
        <v>172.9</v>
      </c>
      <c r="R1217" s="17">
        <f t="shared" si="55"/>
        <v>97.19999999999996</v>
      </c>
      <c r="S1217" s="17">
        <v>136.5</v>
      </c>
      <c r="T1217" s="17">
        <f t="shared" si="56"/>
        <v>74</v>
      </c>
    </row>
    <row r="1218" spans="1:20" x14ac:dyDescent="0.35">
      <c r="A1218" s="14" t="s">
        <v>103</v>
      </c>
      <c r="B1218" s="15" t="s">
        <v>104</v>
      </c>
      <c r="C1218" s="15" t="s">
        <v>93</v>
      </c>
      <c r="D1218" s="15" t="s">
        <v>97</v>
      </c>
      <c r="E1218" s="15" t="s">
        <v>89</v>
      </c>
      <c r="F1218" s="15" t="s">
        <v>67</v>
      </c>
      <c r="G1218" s="15" t="s">
        <v>74</v>
      </c>
      <c r="H1218" s="15" t="s">
        <v>70</v>
      </c>
      <c r="I1218" s="16">
        <v>225007</v>
      </c>
      <c r="J1218" s="16">
        <v>199075</v>
      </c>
      <c r="K1218" s="16">
        <v>217465</v>
      </c>
      <c r="L1218" s="17">
        <v>1198.5999999999999</v>
      </c>
      <c r="M1218" s="17">
        <v>84</v>
      </c>
      <c r="N1218" s="17">
        <f t="shared" si="54"/>
        <v>1114.5999999999999</v>
      </c>
      <c r="O1218" s="17">
        <v>933.6</v>
      </c>
      <c r="P1218" s="17">
        <v>1072.8</v>
      </c>
      <c r="Q1218" s="17">
        <v>642.70000000000005</v>
      </c>
      <c r="R1218" s="17">
        <f t="shared" si="55"/>
        <v>471.89999999999986</v>
      </c>
      <c r="S1218" s="17">
        <v>550.6</v>
      </c>
      <c r="T1218" s="17">
        <f t="shared" si="56"/>
        <v>383</v>
      </c>
    </row>
    <row r="1219" spans="1:20" x14ac:dyDescent="0.35">
      <c r="A1219" s="14" t="s">
        <v>103</v>
      </c>
      <c r="B1219" s="15" t="s">
        <v>104</v>
      </c>
      <c r="C1219" s="15" t="s">
        <v>93</v>
      </c>
      <c r="D1219" s="15" t="s">
        <v>97</v>
      </c>
      <c r="E1219" s="15" t="s">
        <v>89</v>
      </c>
      <c r="F1219" s="15" t="s">
        <v>67</v>
      </c>
      <c r="G1219" s="15" t="s">
        <v>74</v>
      </c>
      <c r="H1219" s="15" t="s">
        <v>71</v>
      </c>
      <c r="I1219" s="16">
        <v>177717</v>
      </c>
      <c r="J1219" s="16">
        <v>160746</v>
      </c>
      <c r="K1219" s="16">
        <v>173342</v>
      </c>
      <c r="L1219" s="17">
        <v>1178.3</v>
      </c>
      <c r="M1219" s="17">
        <v>77</v>
      </c>
      <c r="N1219" s="17">
        <f t="shared" si="54"/>
        <v>1101.3</v>
      </c>
      <c r="O1219" s="17">
        <v>940.2</v>
      </c>
      <c r="P1219" s="17">
        <v>1054.9000000000001</v>
      </c>
      <c r="Q1219" s="17">
        <v>672.3</v>
      </c>
      <c r="R1219" s="17">
        <f t="shared" si="55"/>
        <v>429</v>
      </c>
      <c r="S1219" s="17">
        <v>584.70000000000005</v>
      </c>
      <c r="T1219" s="17">
        <f t="shared" si="56"/>
        <v>355.5</v>
      </c>
    </row>
    <row r="1220" spans="1:20" x14ac:dyDescent="0.35">
      <c r="A1220" s="14" t="s">
        <v>103</v>
      </c>
      <c r="B1220" s="15" t="s">
        <v>104</v>
      </c>
      <c r="C1220" s="15" t="s">
        <v>93</v>
      </c>
      <c r="D1220" s="15" t="s">
        <v>97</v>
      </c>
      <c r="E1220" s="15" t="s">
        <v>89</v>
      </c>
      <c r="F1220" s="15" t="s">
        <v>67</v>
      </c>
      <c r="G1220" s="15" t="s">
        <v>75</v>
      </c>
      <c r="H1220" s="15" t="s">
        <v>71</v>
      </c>
      <c r="I1220" s="16">
        <v>156181</v>
      </c>
      <c r="J1220" s="16">
        <v>139755</v>
      </c>
      <c r="K1220" s="16">
        <v>150609</v>
      </c>
      <c r="L1220" s="17">
        <v>1041.2</v>
      </c>
      <c r="M1220" s="17">
        <v>77.2</v>
      </c>
      <c r="N1220" s="17">
        <f t="shared" ref="N1220:N1283" si="57">L1220-M1220</f>
        <v>964</v>
      </c>
      <c r="O1220" s="17">
        <v>820</v>
      </c>
      <c r="P1220" s="17">
        <v>928.4</v>
      </c>
      <c r="Q1220" s="17">
        <v>585.9</v>
      </c>
      <c r="R1220" s="17">
        <f t="shared" ref="R1220:R1283" si="58">N1220-Q1220</f>
        <v>378.1</v>
      </c>
      <c r="S1220" s="17">
        <v>505.9</v>
      </c>
      <c r="T1220" s="17">
        <f t="shared" ref="T1220:T1283" si="59">O1220-S1220</f>
        <v>314.10000000000002</v>
      </c>
    </row>
    <row r="1221" spans="1:20" x14ac:dyDescent="0.35">
      <c r="A1221" s="14" t="s">
        <v>103</v>
      </c>
      <c r="B1221" s="15" t="s">
        <v>104</v>
      </c>
      <c r="C1221" s="15" t="s">
        <v>93</v>
      </c>
      <c r="D1221" s="15" t="s">
        <v>97</v>
      </c>
      <c r="E1221" s="15" t="s">
        <v>89</v>
      </c>
      <c r="F1221" s="15" t="s">
        <v>67</v>
      </c>
      <c r="G1221" s="15" t="s">
        <v>76</v>
      </c>
      <c r="H1221" s="15" t="s">
        <v>72</v>
      </c>
      <c r="I1221" s="16">
        <v>23845</v>
      </c>
      <c r="J1221" s="16">
        <v>20872</v>
      </c>
      <c r="K1221" s="16">
        <v>23287</v>
      </c>
      <c r="L1221" s="17">
        <v>271</v>
      </c>
      <c r="M1221" s="17">
        <v>17.100000000000001</v>
      </c>
      <c r="N1221" s="17">
        <f t="shared" si="57"/>
        <v>253.9</v>
      </c>
      <c r="O1221" s="17">
        <v>211.6</v>
      </c>
      <c r="P1221" s="17">
        <v>245.7</v>
      </c>
      <c r="Q1221" s="17">
        <v>157.4</v>
      </c>
      <c r="R1221" s="17">
        <f t="shared" si="58"/>
        <v>96.5</v>
      </c>
      <c r="S1221" s="17">
        <v>133</v>
      </c>
      <c r="T1221" s="17">
        <f t="shared" si="59"/>
        <v>78.599999999999994</v>
      </c>
    </row>
    <row r="1222" spans="1:20" x14ac:dyDescent="0.35">
      <c r="A1222" s="14" t="s">
        <v>103</v>
      </c>
      <c r="B1222" s="15" t="s">
        <v>104</v>
      </c>
      <c r="C1222" s="15" t="s">
        <v>93</v>
      </c>
      <c r="D1222" s="15" t="s">
        <v>97</v>
      </c>
      <c r="E1222" s="15" t="s">
        <v>89</v>
      </c>
      <c r="F1222" s="15" t="s">
        <v>79</v>
      </c>
      <c r="G1222" s="15" t="s">
        <v>95</v>
      </c>
      <c r="H1222" s="15" t="s">
        <v>71</v>
      </c>
      <c r="I1222" s="16">
        <v>149164</v>
      </c>
      <c r="J1222" s="16">
        <v>129257</v>
      </c>
      <c r="K1222" s="16">
        <v>143918</v>
      </c>
      <c r="L1222" s="17">
        <v>623.29999999999995</v>
      </c>
      <c r="M1222" s="17">
        <v>40.200000000000003</v>
      </c>
      <c r="N1222" s="17">
        <f t="shared" si="57"/>
        <v>583.09999999999991</v>
      </c>
      <c r="O1222" s="17">
        <v>477.4</v>
      </c>
      <c r="P1222" s="17">
        <v>561.29999999999995</v>
      </c>
      <c r="Q1222" s="17">
        <v>353.2</v>
      </c>
      <c r="R1222" s="17">
        <f t="shared" si="58"/>
        <v>229.89999999999992</v>
      </c>
      <c r="S1222" s="17">
        <v>294.5</v>
      </c>
      <c r="T1222" s="17">
        <f t="shared" si="59"/>
        <v>182.89999999999998</v>
      </c>
    </row>
    <row r="1223" spans="1:20" x14ac:dyDescent="0.35">
      <c r="A1223" s="14" t="s">
        <v>103</v>
      </c>
      <c r="B1223" s="15" t="s">
        <v>104</v>
      </c>
      <c r="C1223" s="15" t="s">
        <v>93</v>
      </c>
      <c r="D1223" s="15" t="s">
        <v>97</v>
      </c>
      <c r="E1223" s="15" t="s">
        <v>89</v>
      </c>
      <c r="F1223" s="15" t="s">
        <v>81</v>
      </c>
      <c r="G1223" s="15" t="s">
        <v>82</v>
      </c>
      <c r="H1223" s="15" t="s">
        <v>71</v>
      </c>
      <c r="I1223" s="16">
        <v>48409</v>
      </c>
      <c r="J1223" s="16">
        <v>42126</v>
      </c>
      <c r="K1223" s="16">
        <v>47020</v>
      </c>
      <c r="L1223" s="17">
        <v>441.6</v>
      </c>
      <c r="M1223" s="17">
        <v>32.4</v>
      </c>
      <c r="N1223" s="17">
        <f t="shared" si="57"/>
        <v>409.20000000000005</v>
      </c>
      <c r="O1223" s="17">
        <v>337.8</v>
      </c>
      <c r="P1223" s="17">
        <v>390.2</v>
      </c>
      <c r="Q1223" s="17">
        <v>255</v>
      </c>
      <c r="R1223" s="17">
        <f t="shared" si="58"/>
        <v>154.20000000000005</v>
      </c>
      <c r="S1223" s="17">
        <v>213.2</v>
      </c>
      <c r="T1223" s="17">
        <f t="shared" si="59"/>
        <v>124.60000000000002</v>
      </c>
    </row>
    <row r="1224" spans="1:20" x14ac:dyDescent="0.35">
      <c r="A1224" s="14" t="s">
        <v>103</v>
      </c>
      <c r="B1224" s="15" t="s">
        <v>104</v>
      </c>
      <c r="C1224" s="15" t="s">
        <v>93</v>
      </c>
      <c r="D1224" s="15" t="s">
        <v>97</v>
      </c>
      <c r="E1224" s="15" t="s">
        <v>89</v>
      </c>
      <c r="F1224" s="15" t="s">
        <v>83</v>
      </c>
      <c r="G1224" s="15" t="s">
        <v>84</v>
      </c>
      <c r="H1224" s="15" t="s">
        <v>72</v>
      </c>
      <c r="I1224" s="16">
        <v>20101</v>
      </c>
      <c r="J1224" s="16">
        <v>15807</v>
      </c>
      <c r="K1224" s="16">
        <v>19586</v>
      </c>
      <c r="L1224" s="17">
        <v>549.4</v>
      </c>
      <c r="M1224" s="17">
        <v>36.299999999999997</v>
      </c>
      <c r="N1224" s="17">
        <f t="shared" si="57"/>
        <v>513.1</v>
      </c>
      <c r="O1224" s="17">
        <v>382.4</v>
      </c>
      <c r="P1224" s="17">
        <v>497.7</v>
      </c>
      <c r="Q1224" s="17">
        <v>303.39999999999998</v>
      </c>
      <c r="R1224" s="17">
        <f t="shared" si="58"/>
        <v>209.70000000000005</v>
      </c>
      <c r="S1224" s="17">
        <v>231.1</v>
      </c>
      <c r="T1224" s="17">
        <f t="shared" si="59"/>
        <v>151.29999999999998</v>
      </c>
    </row>
    <row r="1225" spans="1:20" x14ac:dyDescent="0.35">
      <c r="A1225" s="14" t="s">
        <v>103</v>
      </c>
      <c r="B1225" s="15" t="s">
        <v>104</v>
      </c>
      <c r="C1225" s="15" t="s">
        <v>93</v>
      </c>
      <c r="D1225" s="15" t="s">
        <v>97</v>
      </c>
      <c r="E1225" s="15" t="s">
        <v>90</v>
      </c>
      <c r="F1225" s="15" t="s">
        <v>67</v>
      </c>
      <c r="G1225" s="15" t="s">
        <v>68</v>
      </c>
      <c r="H1225" s="15" t="s">
        <v>69</v>
      </c>
      <c r="I1225" s="16">
        <v>240631</v>
      </c>
      <c r="J1225" s="16">
        <v>218801</v>
      </c>
      <c r="K1225" s="16">
        <v>232563</v>
      </c>
      <c r="L1225" s="17">
        <v>1032.5</v>
      </c>
      <c r="M1225" s="17">
        <v>111.9</v>
      </c>
      <c r="N1225" s="17">
        <f t="shared" si="57"/>
        <v>920.6</v>
      </c>
      <c r="O1225" s="17">
        <v>801.6</v>
      </c>
      <c r="P1225" s="17">
        <v>888.1</v>
      </c>
      <c r="Q1225" s="17">
        <v>501.8</v>
      </c>
      <c r="R1225" s="17">
        <f t="shared" si="58"/>
        <v>418.8</v>
      </c>
      <c r="S1225" s="17">
        <v>448.6</v>
      </c>
      <c r="T1225" s="17">
        <f t="shared" si="59"/>
        <v>353</v>
      </c>
    </row>
    <row r="1226" spans="1:20" x14ac:dyDescent="0.35">
      <c r="A1226" s="14" t="s">
        <v>103</v>
      </c>
      <c r="B1226" s="15" t="s">
        <v>104</v>
      </c>
      <c r="C1226" s="15" t="s">
        <v>93</v>
      </c>
      <c r="D1226" s="15" t="s">
        <v>97</v>
      </c>
      <c r="E1226" s="15" t="s">
        <v>90</v>
      </c>
      <c r="F1226" s="15" t="s">
        <v>67</v>
      </c>
      <c r="G1226" s="15" t="s">
        <v>68</v>
      </c>
      <c r="H1226" s="15" t="s">
        <v>70</v>
      </c>
      <c r="I1226" s="16">
        <v>186132</v>
      </c>
      <c r="J1226" s="16">
        <v>166490</v>
      </c>
      <c r="K1226" s="16">
        <v>180752</v>
      </c>
      <c r="L1226" s="17">
        <v>967.8</v>
      </c>
      <c r="M1226" s="17">
        <v>114.4</v>
      </c>
      <c r="N1226" s="17">
        <f t="shared" si="57"/>
        <v>853.4</v>
      </c>
      <c r="O1226" s="17">
        <v>725.2</v>
      </c>
      <c r="P1226" s="17">
        <v>814.4</v>
      </c>
      <c r="Q1226" s="17">
        <v>494.1</v>
      </c>
      <c r="R1226" s="17">
        <f t="shared" si="58"/>
        <v>359.29999999999995</v>
      </c>
      <c r="S1226" s="17">
        <v>427.3</v>
      </c>
      <c r="T1226" s="17">
        <f t="shared" si="59"/>
        <v>297.90000000000003</v>
      </c>
    </row>
    <row r="1227" spans="1:20" x14ac:dyDescent="0.35">
      <c r="A1227" s="14" t="s">
        <v>103</v>
      </c>
      <c r="B1227" s="15" t="s">
        <v>104</v>
      </c>
      <c r="C1227" s="15" t="s">
        <v>93</v>
      </c>
      <c r="D1227" s="15" t="s">
        <v>97</v>
      </c>
      <c r="E1227" s="15" t="s">
        <v>90</v>
      </c>
      <c r="F1227" s="15" t="s">
        <v>67</v>
      </c>
      <c r="G1227" s="15" t="s">
        <v>68</v>
      </c>
      <c r="H1227" s="15" t="s">
        <v>71</v>
      </c>
      <c r="I1227" s="16">
        <v>282449</v>
      </c>
      <c r="J1227" s="16">
        <v>258704</v>
      </c>
      <c r="K1227" s="16">
        <v>275708</v>
      </c>
      <c r="L1227" s="17">
        <v>1825.5</v>
      </c>
      <c r="M1227" s="17">
        <v>196.5</v>
      </c>
      <c r="N1227" s="17">
        <f t="shared" si="57"/>
        <v>1629</v>
      </c>
      <c r="O1227" s="17">
        <v>1428.2</v>
      </c>
      <c r="P1227" s="17">
        <v>1569.1</v>
      </c>
      <c r="Q1227" s="17">
        <v>1014</v>
      </c>
      <c r="R1227" s="17">
        <f t="shared" si="58"/>
        <v>615</v>
      </c>
      <c r="S1227" s="17">
        <v>898.2</v>
      </c>
      <c r="T1227" s="17">
        <f t="shared" si="59"/>
        <v>530</v>
      </c>
    </row>
    <row r="1228" spans="1:20" x14ac:dyDescent="0.35">
      <c r="A1228" s="14" t="s">
        <v>103</v>
      </c>
      <c r="B1228" s="15" t="s">
        <v>104</v>
      </c>
      <c r="C1228" s="15" t="s">
        <v>93</v>
      </c>
      <c r="D1228" s="15" t="s">
        <v>97</v>
      </c>
      <c r="E1228" s="15" t="s">
        <v>90</v>
      </c>
      <c r="F1228" s="15" t="s">
        <v>67</v>
      </c>
      <c r="G1228" s="15" t="s">
        <v>68</v>
      </c>
      <c r="H1228" s="15" t="s">
        <v>72</v>
      </c>
      <c r="I1228" s="16">
        <v>75185</v>
      </c>
      <c r="J1228" s="16">
        <v>66338</v>
      </c>
      <c r="K1228" s="16">
        <v>72637</v>
      </c>
      <c r="L1228" s="17">
        <v>643.29999999999995</v>
      </c>
      <c r="M1228" s="17">
        <v>74.8</v>
      </c>
      <c r="N1228" s="17">
        <f t="shared" si="57"/>
        <v>568.5</v>
      </c>
      <c r="O1228" s="17">
        <v>480.1</v>
      </c>
      <c r="P1228" s="17">
        <v>544.29999999999995</v>
      </c>
      <c r="Q1228" s="17">
        <v>372</v>
      </c>
      <c r="R1228" s="17">
        <f t="shared" si="58"/>
        <v>196.5</v>
      </c>
      <c r="S1228" s="17">
        <v>321.10000000000002</v>
      </c>
      <c r="T1228" s="17">
        <f t="shared" si="59"/>
        <v>159</v>
      </c>
    </row>
    <row r="1229" spans="1:20" x14ac:dyDescent="0.35">
      <c r="A1229" s="14" t="s">
        <v>103</v>
      </c>
      <c r="B1229" s="15" t="s">
        <v>104</v>
      </c>
      <c r="C1229" s="15" t="s">
        <v>93</v>
      </c>
      <c r="D1229" s="15" t="s">
        <v>97</v>
      </c>
      <c r="E1229" s="15" t="s">
        <v>90</v>
      </c>
      <c r="F1229" s="15" t="s">
        <v>67</v>
      </c>
      <c r="G1229" s="15" t="s">
        <v>73</v>
      </c>
      <c r="H1229" s="15" t="s">
        <v>71</v>
      </c>
      <c r="I1229" s="16">
        <v>60779</v>
      </c>
      <c r="J1229" s="16">
        <v>50685</v>
      </c>
      <c r="K1229" s="16">
        <v>59007</v>
      </c>
      <c r="L1229" s="17">
        <v>379.1</v>
      </c>
      <c r="M1229" s="17">
        <v>38.299999999999997</v>
      </c>
      <c r="N1229" s="17">
        <f t="shared" si="57"/>
        <v>340.8</v>
      </c>
      <c r="O1229" s="17">
        <v>271.60000000000002</v>
      </c>
      <c r="P1229" s="17">
        <v>328.7</v>
      </c>
      <c r="Q1229" s="17">
        <v>213.1</v>
      </c>
      <c r="R1229" s="17">
        <f t="shared" si="58"/>
        <v>127.70000000000002</v>
      </c>
      <c r="S1229" s="17">
        <v>171.5</v>
      </c>
      <c r="T1229" s="17">
        <f t="shared" si="59"/>
        <v>100.10000000000002</v>
      </c>
    </row>
    <row r="1230" spans="1:20" x14ac:dyDescent="0.35">
      <c r="A1230" s="14" t="s">
        <v>103</v>
      </c>
      <c r="B1230" s="15" t="s">
        <v>104</v>
      </c>
      <c r="C1230" s="15" t="s">
        <v>93</v>
      </c>
      <c r="D1230" s="15" t="s">
        <v>97</v>
      </c>
      <c r="E1230" s="15" t="s">
        <v>90</v>
      </c>
      <c r="F1230" s="15" t="s">
        <v>67</v>
      </c>
      <c r="G1230" s="15" t="s">
        <v>73</v>
      </c>
      <c r="H1230" s="15" t="s">
        <v>72</v>
      </c>
      <c r="I1230" s="16">
        <v>23376</v>
      </c>
      <c r="J1230" s="16">
        <v>18955</v>
      </c>
      <c r="K1230" s="16">
        <v>22795</v>
      </c>
      <c r="L1230" s="17">
        <v>199.5</v>
      </c>
      <c r="M1230" s="17">
        <v>23.1</v>
      </c>
      <c r="N1230" s="17">
        <f t="shared" si="57"/>
        <v>176.4</v>
      </c>
      <c r="O1230" s="17">
        <v>137.1</v>
      </c>
      <c r="P1230" s="17">
        <v>168.5</v>
      </c>
      <c r="Q1230" s="17">
        <v>114.1</v>
      </c>
      <c r="R1230" s="17">
        <f t="shared" si="58"/>
        <v>62.300000000000011</v>
      </c>
      <c r="S1230" s="17">
        <v>90.5</v>
      </c>
      <c r="T1230" s="17">
        <f t="shared" si="59"/>
        <v>46.599999999999994</v>
      </c>
    </row>
    <row r="1231" spans="1:20" x14ac:dyDescent="0.35">
      <c r="A1231" s="14" t="s">
        <v>103</v>
      </c>
      <c r="B1231" s="15" t="s">
        <v>104</v>
      </c>
      <c r="C1231" s="15" t="s">
        <v>93</v>
      </c>
      <c r="D1231" s="15" t="s">
        <v>97</v>
      </c>
      <c r="E1231" s="15" t="s">
        <v>90</v>
      </c>
      <c r="F1231" s="15" t="s">
        <v>67</v>
      </c>
      <c r="G1231" s="15" t="s">
        <v>74</v>
      </c>
      <c r="H1231" s="15" t="s">
        <v>70</v>
      </c>
      <c r="I1231" s="16">
        <v>86117</v>
      </c>
      <c r="J1231" s="16">
        <v>77096</v>
      </c>
      <c r="K1231" s="16">
        <v>83004</v>
      </c>
      <c r="L1231" s="17">
        <v>405.6</v>
      </c>
      <c r="M1231" s="17">
        <v>42.2</v>
      </c>
      <c r="N1231" s="17">
        <f t="shared" si="57"/>
        <v>363.40000000000003</v>
      </c>
      <c r="O1231" s="17">
        <v>308</v>
      </c>
      <c r="P1231" s="17">
        <v>350.9</v>
      </c>
      <c r="Q1231" s="17">
        <v>205.4</v>
      </c>
      <c r="R1231" s="17">
        <f t="shared" si="58"/>
        <v>158.00000000000003</v>
      </c>
      <c r="S1231" s="17">
        <v>176.6</v>
      </c>
      <c r="T1231" s="17">
        <f t="shared" si="59"/>
        <v>131.4</v>
      </c>
    </row>
    <row r="1232" spans="1:20" x14ac:dyDescent="0.35">
      <c r="A1232" s="14" t="s">
        <v>103</v>
      </c>
      <c r="B1232" s="15" t="s">
        <v>104</v>
      </c>
      <c r="C1232" s="15" t="s">
        <v>93</v>
      </c>
      <c r="D1232" s="15" t="s">
        <v>97</v>
      </c>
      <c r="E1232" s="15" t="s">
        <v>90</v>
      </c>
      <c r="F1232" s="15" t="s">
        <v>67</v>
      </c>
      <c r="G1232" s="15" t="s">
        <v>74</v>
      </c>
      <c r="H1232" s="15" t="s">
        <v>71</v>
      </c>
      <c r="I1232" s="16">
        <v>96199</v>
      </c>
      <c r="J1232" s="16">
        <v>86988</v>
      </c>
      <c r="K1232" s="16">
        <v>92756</v>
      </c>
      <c r="L1232" s="17">
        <v>585.20000000000005</v>
      </c>
      <c r="M1232" s="17">
        <v>61.1</v>
      </c>
      <c r="N1232" s="17">
        <f t="shared" si="57"/>
        <v>524.1</v>
      </c>
      <c r="O1232" s="17">
        <v>449.6</v>
      </c>
      <c r="P1232" s="17">
        <v>507.1</v>
      </c>
      <c r="Q1232" s="17">
        <v>323.60000000000002</v>
      </c>
      <c r="R1232" s="17">
        <f t="shared" si="58"/>
        <v>200.5</v>
      </c>
      <c r="S1232" s="17">
        <v>282.10000000000002</v>
      </c>
      <c r="T1232" s="17">
        <f t="shared" si="59"/>
        <v>167.5</v>
      </c>
    </row>
    <row r="1233" spans="1:20" x14ac:dyDescent="0.35">
      <c r="A1233" s="14" t="s">
        <v>103</v>
      </c>
      <c r="B1233" s="15" t="s">
        <v>104</v>
      </c>
      <c r="C1233" s="15" t="s">
        <v>93</v>
      </c>
      <c r="D1233" s="15" t="s">
        <v>97</v>
      </c>
      <c r="E1233" s="15" t="s">
        <v>90</v>
      </c>
      <c r="F1233" s="15" t="s">
        <v>67</v>
      </c>
      <c r="G1233" s="15" t="s">
        <v>75</v>
      </c>
      <c r="H1233" s="15" t="s">
        <v>71</v>
      </c>
      <c r="I1233" s="16">
        <v>85923</v>
      </c>
      <c r="J1233" s="16">
        <v>77598</v>
      </c>
      <c r="K1233" s="16">
        <v>82965</v>
      </c>
      <c r="L1233" s="17">
        <v>541.70000000000005</v>
      </c>
      <c r="M1233" s="17">
        <v>60.7</v>
      </c>
      <c r="N1233" s="17">
        <f t="shared" si="57"/>
        <v>481.00000000000006</v>
      </c>
      <c r="O1233" s="17">
        <v>413.2</v>
      </c>
      <c r="P1233" s="17">
        <v>459.9</v>
      </c>
      <c r="Q1233" s="17">
        <v>292.2</v>
      </c>
      <c r="R1233" s="17">
        <f t="shared" si="58"/>
        <v>188.80000000000007</v>
      </c>
      <c r="S1233" s="17">
        <v>255.3</v>
      </c>
      <c r="T1233" s="17">
        <f t="shared" si="59"/>
        <v>157.89999999999998</v>
      </c>
    </row>
    <row r="1234" spans="1:20" x14ac:dyDescent="0.35">
      <c r="A1234" s="14" t="s">
        <v>103</v>
      </c>
      <c r="B1234" s="15" t="s">
        <v>104</v>
      </c>
      <c r="C1234" s="15" t="s">
        <v>93</v>
      </c>
      <c r="D1234" s="15" t="s">
        <v>97</v>
      </c>
      <c r="E1234" s="15" t="s">
        <v>90</v>
      </c>
      <c r="F1234" s="15" t="s">
        <v>67</v>
      </c>
      <c r="G1234" s="15" t="s">
        <v>76</v>
      </c>
      <c r="H1234" s="15" t="s">
        <v>72</v>
      </c>
      <c r="I1234" s="16">
        <v>18885</v>
      </c>
      <c r="J1234" s="16">
        <v>16721</v>
      </c>
      <c r="K1234" s="16">
        <v>18248</v>
      </c>
      <c r="L1234" s="17">
        <v>188.3</v>
      </c>
      <c r="M1234" s="17">
        <v>19.5</v>
      </c>
      <c r="N1234" s="17">
        <f t="shared" si="57"/>
        <v>168.8</v>
      </c>
      <c r="O1234" s="17">
        <v>141.9</v>
      </c>
      <c r="P1234" s="17">
        <v>161.1</v>
      </c>
      <c r="Q1234" s="17">
        <v>105.1</v>
      </c>
      <c r="R1234" s="17">
        <f t="shared" si="58"/>
        <v>63.700000000000017</v>
      </c>
      <c r="S1234" s="17">
        <v>89.3</v>
      </c>
      <c r="T1234" s="17">
        <f t="shared" si="59"/>
        <v>52.600000000000009</v>
      </c>
    </row>
    <row r="1235" spans="1:20" x14ac:dyDescent="0.35">
      <c r="A1235" s="14" t="s">
        <v>103</v>
      </c>
      <c r="B1235" s="15" t="s">
        <v>104</v>
      </c>
      <c r="C1235" s="15" t="s">
        <v>93</v>
      </c>
      <c r="D1235" s="15" t="s">
        <v>97</v>
      </c>
      <c r="E1235" s="15" t="s">
        <v>90</v>
      </c>
      <c r="F1235" s="15" t="s">
        <v>79</v>
      </c>
      <c r="G1235" s="15" t="s">
        <v>95</v>
      </c>
      <c r="H1235" s="15" t="s">
        <v>71</v>
      </c>
      <c r="I1235" s="16">
        <v>81260</v>
      </c>
      <c r="J1235" s="16">
        <v>71552</v>
      </c>
      <c r="K1235" s="16">
        <v>78442</v>
      </c>
      <c r="L1235" s="17">
        <v>316.89999999999998</v>
      </c>
      <c r="M1235" s="17">
        <v>35.200000000000003</v>
      </c>
      <c r="N1235" s="17">
        <f t="shared" si="57"/>
        <v>281.7</v>
      </c>
      <c r="O1235" s="17">
        <v>234.3</v>
      </c>
      <c r="P1235" s="17">
        <v>270.3</v>
      </c>
      <c r="Q1235" s="17">
        <v>167.8</v>
      </c>
      <c r="R1235" s="17">
        <f t="shared" si="58"/>
        <v>113.89999999999998</v>
      </c>
      <c r="S1235" s="17">
        <v>142.30000000000001</v>
      </c>
      <c r="T1235" s="17">
        <f t="shared" si="59"/>
        <v>92</v>
      </c>
    </row>
    <row r="1236" spans="1:20" x14ac:dyDescent="0.35">
      <c r="A1236" s="14" t="s">
        <v>103</v>
      </c>
      <c r="B1236" s="15" t="s">
        <v>104</v>
      </c>
      <c r="C1236" s="15" t="s">
        <v>93</v>
      </c>
      <c r="D1236" s="15" t="s">
        <v>97</v>
      </c>
      <c r="E1236" s="15" t="s">
        <v>90</v>
      </c>
      <c r="F1236" s="15" t="s">
        <v>81</v>
      </c>
      <c r="G1236" s="15" t="s">
        <v>82</v>
      </c>
      <c r="H1236" s="15" t="s">
        <v>71</v>
      </c>
      <c r="I1236" s="16">
        <v>28139</v>
      </c>
      <c r="J1236" s="16">
        <v>24559</v>
      </c>
      <c r="K1236" s="16">
        <v>27527</v>
      </c>
      <c r="L1236" s="17">
        <v>223.7</v>
      </c>
      <c r="M1236" s="17">
        <v>22.9</v>
      </c>
      <c r="N1236" s="17">
        <f t="shared" si="57"/>
        <v>200.79999999999998</v>
      </c>
      <c r="O1236" s="17">
        <v>166.4</v>
      </c>
      <c r="P1236" s="17">
        <v>194.7</v>
      </c>
      <c r="Q1236" s="17">
        <v>122.7</v>
      </c>
      <c r="R1236" s="17">
        <f t="shared" si="58"/>
        <v>78.09999999999998</v>
      </c>
      <c r="S1236" s="17">
        <v>103.2</v>
      </c>
      <c r="T1236" s="17">
        <f t="shared" si="59"/>
        <v>63.2</v>
      </c>
    </row>
    <row r="1237" spans="1:20" x14ac:dyDescent="0.35">
      <c r="A1237" s="14" t="s">
        <v>103</v>
      </c>
      <c r="B1237" s="15" t="s">
        <v>104</v>
      </c>
      <c r="C1237" s="15" t="s">
        <v>93</v>
      </c>
      <c r="D1237" s="15" t="s">
        <v>97</v>
      </c>
      <c r="E1237" s="15" t="s">
        <v>90</v>
      </c>
      <c r="F1237" s="15" t="s">
        <v>83</v>
      </c>
      <c r="G1237" s="15" t="s">
        <v>84</v>
      </c>
      <c r="H1237" s="15" t="s">
        <v>72</v>
      </c>
      <c r="I1237" s="16">
        <v>13461</v>
      </c>
      <c r="J1237" s="16">
        <v>10493</v>
      </c>
      <c r="K1237" s="16">
        <v>13156</v>
      </c>
      <c r="L1237" s="17">
        <v>349.4</v>
      </c>
      <c r="M1237" s="17">
        <v>35.799999999999997</v>
      </c>
      <c r="N1237" s="17">
        <f t="shared" si="57"/>
        <v>313.59999999999997</v>
      </c>
      <c r="O1237" s="17">
        <v>233.5</v>
      </c>
      <c r="P1237" s="17">
        <v>300.89999999999998</v>
      </c>
      <c r="Q1237" s="17">
        <v>179.6</v>
      </c>
      <c r="R1237" s="17">
        <f t="shared" si="58"/>
        <v>133.99999999999997</v>
      </c>
      <c r="S1237" s="17">
        <v>136.9</v>
      </c>
      <c r="T1237" s="17">
        <f t="shared" si="59"/>
        <v>96.6</v>
      </c>
    </row>
    <row r="1238" spans="1:20" x14ac:dyDescent="0.35">
      <c r="A1238" s="14" t="s">
        <v>103</v>
      </c>
      <c r="B1238" s="15" t="s">
        <v>104</v>
      </c>
      <c r="C1238" s="15" t="s">
        <v>93</v>
      </c>
      <c r="D1238" s="15" t="s">
        <v>97</v>
      </c>
      <c r="E1238" s="15" t="s">
        <v>91</v>
      </c>
      <c r="F1238" s="15" t="s">
        <v>67</v>
      </c>
      <c r="G1238" s="15" t="s">
        <v>68</v>
      </c>
      <c r="H1238" s="15" t="s">
        <v>69</v>
      </c>
      <c r="I1238" s="16">
        <v>156344</v>
      </c>
      <c r="J1238" s="16">
        <v>137121</v>
      </c>
      <c r="K1238" s="16">
        <v>152827</v>
      </c>
      <c r="L1238" s="17">
        <v>774.8</v>
      </c>
      <c r="M1238" s="17">
        <v>31.8</v>
      </c>
      <c r="N1238" s="17">
        <f t="shared" si="57"/>
        <v>743</v>
      </c>
      <c r="O1238" s="17">
        <v>625.6</v>
      </c>
      <c r="P1238" s="17">
        <v>709.5</v>
      </c>
      <c r="Q1238" s="17">
        <v>410.3</v>
      </c>
      <c r="R1238" s="17">
        <f t="shared" si="58"/>
        <v>332.7</v>
      </c>
      <c r="S1238" s="17">
        <v>348.1</v>
      </c>
      <c r="T1238" s="17">
        <f t="shared" si="59"/>
        <v>277.5</v>
      </c>
    </row>
    <row r="1239" spans="1:20" x14ac:dyDescent="0.35">
      <c r="A1239" s="14" t="s">
        <v>103</v>
      </c>
      <c r="B1239" s="15" t="s">
        <v>104</v>
      </c>
      <c r="C1239" s="15" t="s">
        <v>93</v>
      </c>
      <c r="D1239" s="15" t="s">
        <v>97</v>
      </c>
      <c r="E1239" s="15" t="s">
        <v>91</v>
      </c>
      <c r="F1239" s="15" t="s">
        <v>67</v>
      </c>
      <c r="G1239" s="15" t="s">
        <v>68</v>
      </c>
      <c r="H1239" s="15" t="s">
        <v>70</v>
      </c>
      <c r="I1239" s="16">
        <v>44840</v>
      </c>
      <c r="J1239" s="16">
        <v>38314</v>
      </c>
      <c r="K1239" s="16">
        <v>43424</v>
      </c>
      <c r="L1239" s="17">
        <v>262</v>
      </c>
      <c r="M1239" s="17">
        <v>15.4</v>
      </c>
      <c r="N1239" s="17">
        <f t="shared" si="57"/>
        <v>246.6</v>
      </c>
      <c r="O1239" s="17">
        <v>201.9</v>
      </c>
      <c r="P1239" s="17">
        <v>237.8</v>
      </c>
      <c r="Q1239" s="17">
        <v>138</v>
      </c>
      <c r="R1239" s="17">
        <f t="shared" si="58"/>
        <v>108.6</v>
      </c>
      <c r="S1239" s="17">
        <v>115.6</v>
      </c>
      <c r="T1239" s="17">
        <f t="shared" si="59"/>
        <v>86.300000000000011</v>
      </c>
    </row>
    <row r="1240" spans="1:20" x14ac:dyDescent="0.35">
      <c r="A1240" s="14" t="s">
        <v>103</v>
      </c>
      <c r="B1240" s="15" t="s">
        <v>104</v>
      </c>
      <c r="C1240" s="15" t="s">
        <v>93</v>
      </c>
      <c r="D1240" s="15" t="s">
        <v>97</v>
      </c>
      <c r="E1240" s="15" t="s">
        <v>91</v>
      </c>
      <c r="F1240" s="15" t="s">
        <v>67</v>
      </c>
      <c r="G1240" s="15" t="s">
        <v>68</v>
      </c>
      <c r="H1240" s="15" t="s">
        <v>71</v>
      </c>
      <c r="I1240" s="16">
        <v>90134</v>
      </c>
      <c r="J1240" s="16">
        <v>78679</v>
      </c>
      <c r="K1240" s="16">
        <v>87744</v>
      </c>
      <c r="L1240" s="17">
        <v>680.4</v>
      </c>
      <c r="M1240" s="17">
        <v>36.4</v>
      </c>
      <c r="N1240" s="17">
        <f t="shared" si="57"/>
        <v>644</v>
      </c>
      <c r="O1240" s="17">
        <v>531.79999999999995</v>
      </c>
      <c r="P1240" s="17">
        <v>623.20000000000005</v>
      </c>
      <c r="Q1240" s="17">
        <v>406.8</v>
      </c>
      <c r="R1240" s="17">
        <f t="shared" si="58"/>
        <v>237.2</v>
      </c>
      <c r="S1240" s="17">
        <v>342</v>
      </c>
      <c r="T1240" s="17">
        <f t="shared" si="59"/>
        <v>189.79999999999995</v>
      </c>
    </row>
    <row r="1241" spans="1:20" x14ac:dyDescent="0.35">
      <c r="A1241" s="14" t="s">
        <v>103</v>
      </c>
      <c r="B1241" s="15" t="s">
        <v>104</v>
      </c>
      <c r="C1241" s="15" t="s">
        <v>93</v>
      </c>
      <c r="D1241" s="15" t="s">
        <v>97</v>
      </c>
      <c r="E1241" s="15" t="s">
        <v>91</v>
      </c>
      <c r="F1241" s="15" t="s">
        <v>67</v>
      </c>
      <c r="G1241" s="15" t="s">
        <v>68</v>
      </c>
      <c r="H1241" s="15" t="s">
        <v>72</v>
      </c>
      <c r="I1241" s="16">
        <v>44245</v>
      </c>
      <c r="J1241" s="16">
        <v>37986</v>
      </c>
      <c r="K1241" s="16">
        <v>42866</v>
      </c>
      <c r="L1241" s="17">
        <v>453.8</v>
      </c>
      <c r="M1241" s="17">
        <v>20.3</v>
      </c>
      <c r="N1241" s="17">
        <f t="shared" si="57"/>
        <v>433.5</v>
      </c>
      <c r="O1241" s="17">
        <v>353.2</v>
      </c>
      <c r="P1241" s="17">
        <v>414.4</v>
      </c>
      <c r="Q1241" s="17">
        <v>280.5</v>
      </c>
      <c r="R1241" s="17">
        <f t="shared" si="58"/>
        <v>153</v>
      </c>
      <c r="S1241" s="17">
        <v>233</v>
      </c>
      <c r="T1241" s="17">
        <f t="shared" si="59"/>
        <v>120.19999999999999</v>
      </c>
    </row>
    <row r="1242" spans="1:20" x14ac:dyDescent="0.35">
      <c r="A1242" s="14" t="s">
        <v>103</v>
      </c>
      <c r="B1242" s="15" t="s">
        <v>104</v>
      </c>
      <c r="C1242" s="15" t="s">
        <v>93</v>
      </c>
      <c r="D1242" s="15" t="s">
        <v>97</v>
      </c>
      <c r="E1242" s="15" t="s">
        <v>91</v>
      </c>
      <c r="F1242" s="15" t="s">
        <v>67</v>
      </c>
      <c r="G1242" s="15" t="s">
        <v>73</v>
      </c>
      <c r="H1242" s="15" t="s">
        <v>71</v>
      </c>
      <c r="I1242" s="16">
        <v>20505</v>
      </c>
      <c r="J1242" s="16">
        <v>16384</v>
      </c>
      <c r="K1242" s="16">
        <v>19830</v>
      </c>
      <c r="L1242" s="17">
        <v>147.30000000000001</v>
      </c>
      <c r="M1242" s="17">
        <v>5.9</v>
      </c>
      <c r="N1242" s="17">
        <f t="shared" si="57"/>
        <v>141.4</v>
      </c>
      <c r="O1242" s="17">
        <v>108</v>
      </c>
      <c r="P1242" s="17">
        <v>136.30000000000001</v>
      </c>
      <c r="Q1242" s="17">
        <v>86.7</v>
      </c>
      <c r="R1242" s="17">
        <f t="shared" si="58"/>
        <v>54.7</v>
      </c>
      <c r="S1242" s="17">
        <v>67</v>
      </c>
      <c r="T1242" s="17">
        <f t="shared" si="59"/>
        <v>41</v>
      </c>
    </row>
    <row r="1243" spans="1:20" x14ac:dyDescent="0.35">
      <c r="A1243" s="14" t="s">
        <v>103</v>
      </c>
      <c r="B1243" s="15" t="s">
        <v>104</v>
      </c>
      <c r="C1243" s="15" t="s">
        <v>93</v>
      </c>
      <c r="D1243" s="15" t="s">
        <v>97</v>
      </c>
      <c r="E1243" s="15" t="s">
        <v>91</v>
      </c>
      <c r="F1243" s="15" t="s">
        <v>67</v>
      </c>
      <c r="G1243" s="15" t="s">
        <v>73</v>
      </c>
      <c r="H1243" s="15" t="s">
        <v>72</v>
      </c>
      <c r="I1243" s="16">
        <v>15011</v>
      </c>
      <c r="J1243" s="16">
        <v>11773</v>
      </c>
      <c r="K1243" s="16">
        <v>14649</v>
      </c>
      <c r="L1243" s="17">
        <v>149.6</v>
      </c>
      <c r="M1243" s="17">
        <v>7.3</v>
      </c>
      <c r="N1243" s="17">
        <f t="shared" si="57"/>
        <v>142.29999999999998</v>
      </c>
      <c r="O1243" s="17">
        <v>106.4</v>
      </c>
      <c r="P1243" s="17">
        <v>137.80000000000001</v>
      </c>
      <c r="Q1243" s="17">
        <v>90.3</v>
      </c>
      <c r="R1243" s="17">
        <f t="shared" si="58"/>
        <v>51.999999999999986</v>
      </c>
      <c r="S1243" s="17">
        <v>68.099999999999994</v>
      </c>
      <c r="T1243" s="17">
        <f t="shared" si="59"/>
        <v>38.300000000000011</v>
      </c>
    </row>
    <row r="1244" spans="1:20" x14ac:dyDescent="0.35">
      <c r="A1244" s="14" t="s">
        <v>103</v>
      </c>
      <c r="B1244" s="15" t="s">
        <v>104</v>
      </c>
      <c r="C1244" s="15" t="s">
        <v>93</v>
      </c>
      <c r="D1244" s="15" t="s">
        <v>97</v>
      </c>
      <c r="E1244" s="15" t="s">
        <v>91</v>
      </c>
      <c r="F1244" s="15" t="s">
        <v>67</v>
      </c>
      <c r="G1244" s="15" t="s">
        <v>74</v>
      </c>
      <c r="H1244" s="15" t="s">
        <v>70</v>
      </c>
      <c r="I1244" s="16">
        <v>17246</v>
      </c>
      <c r="J1244" s="16">
        <v>14705</v>
      </c>
      <c r="K1244" s="16">
        <v>16726</v>
      </c>
      <c r="L1244" s="17">
        <v>99.6</v>
      </c>
      <c r="M1244" s="17">
        <v>4.4000000000000004</v>
      </c>
      <c r="N1244" s="17">
        <f t="shared" si="57"/>
        <v>95.199999999999989</v>
      </c>
      <c r="O1244" s="17">
        <v>77.3</v>
      </c>
      <c r="P1244" s="17">
        <v>92.3</v>
      </c>
      <c r="Q1244" s="17">
        <v>54.4</v>
      </c>
      <c r="R1244" s="17">
        <f t="shared" si="58"/>
        <v>40.79999999999999</v>
      </c>
      <c r="S1244" s="17">
        <v>44.8</v>
      </c>
      <c r="T1244" s="17">
        <f t="shared" si="59"/>
        <v>32.5</v>
      </c>
    </row>
    <row r="1245" spans="1:20" x14ac:dyDescent="0.35">
      <c r="A1245" s="14" t="s">
        <v>103</v>
      </c>
      <c r="B1245" s="15" t="s">
        <v>104</v>
      </c>
      <c r="C1245" s="15" t="s">
        <v>93</v>
      </c>
      <c r="D1245" s="15" t="s">
        <v>97</v>
      </c>
      <c r="E1245" s="15" t="s">
        <v>91</v>
      </c>
      <c r="F1245" s="15" t="s">
        <v>67</v>
      </c>
      <c r="G1245" s="15" t="s">
        <v>74</v>
      </c>
      <c r="H1245" s="15" t="s">
        <v>71</v>
      </c>
      <c r="I1245" s="16">
        <v>31956</v>
      </c>
      <c r="J1245" s="16">
        <v>27840</v>
      </c>
      <c r="K1245" s="16">
        <v>31059</v>
      </c>
      <c r="L1245" s="17">
        <v>234</v>
      </c>
      <c r="M1245" s="17">
        <v>13</v>
      </c>
      <c r="N1245" s="17">
        <f t="shared" si="57"/>
        <v>221</v>
      </c>
      <c r="O1245" s="17">
        <v>181.9</v>
      </c>
      <c r="P1245" s="17">
        <v>213.6</v>
      </c>
      <c r="Q1245" s="17">
        <v>137.4</v>
      </c>
      <c r="R1245" s="17">
        <f t="shared" si="58"/>
        <v>83.6</v>
      </c>
      <c r="S1245" s="17">
        <v>115.5</v>
      </c>
      <c r="T1245" s="17">
        <f t="shared" si="59"/>
        <v>66.400000000000006</v>
      </c>
    </row>
    <row r="1246" spans="1:20" x14ac:dyDescent="0.35">
      <c r="A1246" s="14" t="s">
        <v>103</v>
      </c>
      <c r="B1246" s="15" t="s">
        <v>104</v>
      </c>
      <c r="C1246" s="15" t="s">
        <v>93</v>
      </c>
      <c r="D1246" s="15" t="s">
        <v>97</v>
      </c>
      <c r="E1246" s="15" t="s">
        <v>91</v>
      </c>
      <c r="F1246" s="15" t="s">
        <v>67</v>
      </c>
      <c r="G1246" s="15" t="s">
        <v>75</v>
      </c>
      <c r="H1246" s="15" t="s">
        <v>71</v>
      </c>
      <c r="I1246" s="16">
        <v>24939</v>
      </c>
      <c r="J1246" s="16">
        <v>21805</v>
      </c>
      <c r="K1246" s="16">
        <v>24387</v>
      </c>
      <c r="L1246" s="17">
        <v>176.4</v>
      </c>
      <c r="M1246" s="17">
        <v>9.5</v>
      </c>
      <c r="N1246" s="17">
        <f t="shared" si="57"/>
        <v>166.9</v>
      </c>
      <c r="O1246" s="17">
        <v>138.80000000000001</v>
      </c>
      <c r="P1246" s="17">
        <v>160.19999999999999</v>
      </c>
      <c r="Q1246" s="17">
        <v>101.7</v>
      </c>
      <c r="R1246" s="17">
        <f t="shared" si="58"/>
        <v>65.2</v>
      </c>
      <c r="S1246" s="17">
        <v>86.3</v>
      </c>
      <c r="T1246" s="17">
        <f t="shared" si="59"/>
        <v>52.500000000000014</v>
      </c>
    </row>
    <row r="1247" spans="1:20" x14ac:dyDescent="0.35">
      <c r="A1247" s="14" t="s">
        <v>103</v>
      </c>
      <c r="B1247" s="15" t="s">
        <v>104</v>
      </c>
      <c r="C1247" s="15" t="s">
        <v>93</v>
      </c>
      <c r="D1247" s="15" t="s">
        <v>97</v>
      </c>
      <c r="E1247" s="15" t="s">
        <v>91</v>
      </c>
      <c r="F1247" s="15" t="s">
        <v>67</v>
      </c>
      <c r="G1247" s="15" t="s">
        <v>76</v>
      </c>
      <c r="H1247" s="15" t="s">
        <v>72</v>
      </c>
      <c r="I1247" s="16">
        <v>29222</v>
      </c>
      <c r="J1247" s="16">
        <v>24685</v>
      </c>
      <c r="K1247" s="16">
        <v>28348</v>
      </c>
      <c r="L1247" s="17">
        <v>348.7</v>
      </c>
      <c r="M1247" s="17">
        <v>19.2</v>
      </c>
      <c r="N1247" s="17">
        <f t="shared" si="57"/>
        <v>329.5</v>
      </c>
      <c r="O1247" s="17">
        <v>267.39999999999998</v>
      </c>
      <c r="P1247" s="17">
        <v>315</v>
      </c>
      <c r="Q1247" s="17">
        <v>205.7</v>
      </c>
      <c r="R1247" s="17">
        <f t="shared" si="58"/>
        <v>123.80000000000001</v>
      </c>
      <c r="S1247" s="17">
        <v>168.6</v>
      </c>
      <c r="T1247" s="17">
        <f t="shared" si="59"/>
        <v>98.799999999999983</v>
      </c>
    </row>
    <row r="1248" spans="1:20" x14ac:dyDescent="0.35">
      <c r="A1248" s="14" t="s">
        <v>103</v>
      </c>
      <c r="B1248" s="15" t="s">
        <v>104</v>
      </c>
      <c r="C1248" s="15" t="s">
        <v>93</v>
      </c>
      <c r="D1248" s="15" t="s">
        <v>97</v>
      </c>
      <c r="E1248" s="15" t="s">
        <v>91</v>
      </c>
      <c r="F1248" s="15" t="s">
        <v>79</v>
      </c>
      <c r="G1248" s="15" t="s">
        <v>95</v>
      </c>
      <c r="H1248" s="15" t="s">
        <v>71</v>
      </c>
      <c r="I1248" s="16">
        <v>23098</v>
      </c>
      <c r="J1248" s="16">
        <v>19486</v>
      </c>
      <c r="K1248" s="16">
        <v>22581</v>
      </c>
      <c r="L1248" s="17">
        <v>105.2</v>
      </c>
      <c r="M1248" s="17">
        <v>5.4</v>
      </c>
      <c r="N1248" s="17">
        <f t="shared" si="57"/>
        <v>99.8</v>
      </c>
      <c r="O1248" s="17">
        <v>80.8</v>
      </c>
      <c r="P1248" s="17">
        <v>96.3</v>
      </c>
      <c r="Q1248" s="17">
        <v>59.8</v>
      </c>
      <c r="R1248" s="17">
        <f t="shared" si="58"/>
        <v>40</v>
      </c>
      <c r="S1248" s="17">
        <v>49.4</v>
      </c>
      <c r="T1248" s="17">
        <f t="shared" si="59"/>
        <v>31.4</v>
      </c>
    </row>
    <row r="1249" spans="1:20" x14ac:dyDescent="0.35">
      <c r="A1249" s="14" t="s">
        <v>103</v>
      </c>
      <c r="B1249" s="15" t="s">
        <v>104</v>
      </c>
      <c r="C1249" s="15" t="s">
        <v>93</v>
      </c>
      <c r="D1249" s="15" t="s">
        <v>97</v>
      </c>
      <c r="E1249" s="15" t="s">
        <v>91</v>
      </c>
      <c r="F1249" s="15" t="s">
        <v>81</v>
      </c>
      <c r="G1249" s="15" t="s">
        <v>82</v>
      </c>
      <c r="H1249" s="15" t="s">
        <v>71</v>
      </c>
      <c r="I1249" s="16">
        <v>7989</v>
      </c>
      <c r="J1249" s="16">
        <v>6768</v>
      </c>
      <c r="K1249" s="16">
        <v>7808</v>
      </c>
      <c r="L1249" s="17">
        <v>77.5</v>
      </c>
      <c r="M1249" s="17">
        <v>3.7</v>
      </c>
      <c r="N1249" s="17">
        <f t="shared" si="57"/>
        <v>73.8</v>
      </c>
      <c r="O1249" s="17">
        <v>59.8</v>
      </c>
      <c r="P1249" s="17">
        <v>71.3</v>
      </c>
      <c r="Q1249" s="17">
        <v>45.8</v>
      </c>
      <c r="R1249" s="17">
        <f t="shared" si="58"/>
        <v>28</v>
      </c>
      <c r="S1249" s="17">
        <v>37.799999999999997</v>
      </c>
      <c r="T1249" s="17">
        <f t="shared" si="59"/>
        <v>22</v>
      </c>
    </row>
    <row r="1250" spans="1:20" x14ac:dyDescent="0.35">
      <c r="A1250" s="14" t="s">
        <v>103</v>
      </c>
      <c r="B1250" s="15" t="s">
        <v>104</v>
      </c>
      <c r="C1250" s="15" t="s">
        <v>93</v>
      </c>
      <c r="D1250" s="15" t="s">
        <v>97</v>
      </c>
      <c r="E1250" s="15" t="s">
        <v>91</v>
      </c>
      <c r="F1250" s="15" t="s">
        <v>83</v>
      </c>
      <c r="G1250" s="15" t="s">
        <v>84</v>
      </c>
      <c r="H1250" s="15" t="s">
        <v>72</v>
      </c>
      <c r="I1250" s="16">
        <v>8823</v>
      </c>
      <c r="J1250" s="16">
        <v>6634</v>
      </c>
      <c r="K1250" s="16">
        <v>8565</v>
      </c>
      <c r="L1250" s="17">
        <v>271.89999999999998</v>
      </c>
      <c r="M1250" s="17">
        <v>14.4</v>
      </c>
      <c r="N1250" s="17">
        <f t="shared" si="57"/>
        <v>257.5</v>
      </c>
      <c r="O1250" s="17">
        <v>185.3</v>
      </c>
      <c r="P1250" s="17">
        <v>246.8</v>
      </c>
      <c r="Q1250" s="17">
        <v>150.1</v>
      </c>
      <c r="R1250" s="17">
        <f t="shared" si="58"/>
        <v>107.4</v>
      </c>
      <c r="S1250" s="17">
        <v>108.9</v>
      </c>
      <c r="T1250" s="17">
        <f t="shared" si="59"/>
        <v>76.400000000000006</v>
      </c>
    </row>
    <row r="1251" spans="1:20" x14ac:dyDescent="0.35">
      <c r="A1251" s="14" t="s">
        <v>103</v>
      </c>
      <c r="B1251" s="15" t="s">
        <v>104</v>
      </c>
      <c r="C1251" s="15" t="s">
        <v>93</v>
      </c>
      <c r="D1251" s="15" t="s">
        <v>97</v>
      </c>
      <c r="E1251" s="15" t="s">
        <v>92</v>
      </c>
      <c r="F1251" s="15" t="s">
        <v>67</v>
      </c>
      <c r="G1251" s="15" t="s">
        <v>68</v>
      </c>
      <c r="H1251" s="15" t="s">
        <v>69</v>
      </c>
      <c r="I1251" s="16">
        <v>172604</v>
      </c>
      <c r="J1251" s="16">
        <v>131514</v>
      </c>
      <c r="K1251" s="16">
        <v>168433</v>
      </c>
      <c r="L1251" s="17">
        <v>797.2</v>
      </c>
      <c r="M1251" s="17">
        <v>57.6</v>
      </c>
      <c r="N1251" s="17">
        <f t="shared" si="57"/>
        <v>739.6</v>
      </c>
      <c r="O1251" s="17">
        <v>533.20000000000005</v>
      </c>
      <c r="P1251" s="17">
        <v>709.1</v>
      </c>
      <c r="Q1251" s="17">
        <v>416.7</v>
      </c>
      <c r="R1251" s="17">
        <f t="shared" si="58"/>
        <v>322.90000000000003</v>
      </c>
      <c r="S1251" s="17">
        <v>304.5</v>
      </c>
      <c r="T1251" s="17">
        <f t="shared" si="59"/>
        <v>228.70000000000005</v>
      </c>
    </row>
    <row r="1252" spans="1:20" x14ac:dyDescent="0.35">
      <c r="A1252" s="14" t="s">
        <v>103</v>
      </c>
      <c r="B1252" s="15" t="s">
        <v>104</v>
      </c>
      <c r="C1252" s="15" t="s">
        <v>93</v>
      </c>
      <c r="D1252" s="15" t="s">
        <v>97</v>
      </c>
      <c r="E1252" s="15" t="s">
        <v>92</v>
      </c>
      <c r="F1252" s="15" t="s">
        <v>67</v>
      </c>
      <c r="G1252" s="15" t="s">
        <v>68</v>
      </c>
      <c r="H1252" s="15" t="s">
        <v>70</v>
      </c>
      <c r="I1252" s="16">
        <v>127029</v>
      </c>
      <c r="J1252" s="16">
        <v>94402</v>
      </c>
      <c r="K1252" s="16">
        <v>123773</v>
      </c>
      <c r="L1252" s="17">
        <v>689.7</v>
      </c>
      <c r="M1252" s="17">
        <v>52.8</v>
      </c>
      <c r="N1252" s="17">
        <f t="shared" si="57"/>
        <v>636.90000000000009</v>
      </c>
      <c r="O1252" s="17">
        <v>450.1</v>
      </c>
      <c r="P1252" s="17">
        <v>608.20000000000005</v>
      </c>
      <c r="Q1252" s="17">
        <v>368.1</v>
      </c>
      <c r="R1252" s="17">
        <f t="shared" si="58"/>
        <v>268.80000000000007</v>
      </c>
      <c r="S1252" s="17">
        <v>266.8</v>
      </c>
      <c r="T1252" s="17">
        <f t="shared" si="59"/>
        <v>183.3</v>
      </c>
    </row>
    <row r="1253" spans="1:20" x14ac:dyDescent="0.35">
      <c r="A1253" s="14" t="s">
        <v>103</v>
      </c>
      <c r="B1253" s="15" t="s">
        <v>104</v>
      </c>
      <c r="C1253" s="15" t="s">
        <v>93</v>
      </c>
      <c r="D1253" s="15" t="s">
        <v>97</v>
      </c>
      <c r="E1253" s="15" t="s">
        <v>92</v>
      </c>
      <c r="F1253" s="15" t="s">
        <v>67</v>
      </c>
      <c r="G1253" s="15" t="s">
        <v>68</v>
      </c>
      <c r="H1253" s="15" t="s">
        <v>71</v>
      </c>
      <c r="I1253" s="16">
        <v>143975</v>
      </c>
      <c r="J1253" s="16">
        <v>108678</v>
      </c>
      <c r="K1253" s="16">
        <v>140409</v>
      </c>
      <c r="L1253" s="17">
        <v>946</v>
      </c>
      <c r="M1253" s="17">
        <v>72.7</v>
      </c>
      <c r="N1253" s="17">
        <f t="shared" si="57"/>
        <v>873.3</v>
      </c>
      <c r="O1253" s="17">
        <v>625.4</v>
      </c>
      <c r="P1253" s="17">
        <v>833.7</v>
      </c>
      <c r="Q1253" s="17">
        <v>542.5</v>
      </c>
      <c r="R1253" s="17">
        <f t="shared" si="58"/>
        <v>330.79999999999995</v>
      </c>
      <c r="S1253" s="17">
        <v>395.3</v>
      </c>
      <c r="T1253" s="17">
        <f t="shared" si="59"/>
        <v>230.09999999999997</v>
      </c>
    </row>
    <row r="1254" spans="1:20" x14ac:dyDescent="0.35">
      <c r="A1254" s="14" t="s">
        <v>103</v>
      </c>
      <c r="B1254" s="15" t="s">
        <v>104</v>
      </c>
      <c r="C1254" s="15" t="s">
        <v>93</v>
      </c>
      <c r="D1254" s="15" t="s">
        <v>97</v>
      </c>
      <c r="E1254" s="15" t="s">
        <v>92</v>
      </c>
      <c r="F1254" s="15" t="s">
        <v>67</v>
      </c>
      <c r="G1254" s="15" t="s">
        <v>68</v>
      </c>
      <c r="H1254" s="15" t="s">
        <v>72</v>
      </c>
      <c r="I1254" s="16">
        <v>40044</v>
      </c>
      <c r="J1254" s="16">
        <v>29842</v>
      </c>
      <c r="K1254" s="16">
        <v>38813</v>
      </c>
      <c r="L1254" s="17">
        <v>363.3</v>
      </c>
      <c r="M1254" s="17">
        <v>28.9</v>
      </c>
      <c r="N1254" s="17">
        <f t="shared" si="57"/>
        <v>334.40000000000003</v>
      </c>
      <c r="O1254" s="17">
        <v>238.2</v>
      </c>
      <c r="P1254" s="17">
        <v>319.5</v>
      </c>
      <c r="Q1254" s="17">
        <v>217.8</v>
      </c>
      <c r="R1254" s="17">
        <f t="shared" si="58"/>
        <v>116.60000000000002</v>
      </c>
      <c r="S1254" s="17">
        <v>158.4</v>
      </c>
      <c r="T1254" s="17">
        <f t="shared" si="59"/>
        <v>79.799999999999983</v>
      </c>
    </row>
    <row r="1255" spans="1:20" x14ac:dyDescent="0.35">
      <c r="A1255" s="14" t="s">
        <v>103</v>
      </c>
      <c r="B1255" s="15" t="s">
        <v>104</v>
      </c>
      <c r="C1255" s="15" t="s">
        <v>93</v>
      </c>
      <c r="D1255" s="15" t="s">
        <v>97</v>
      </c>
      <c r="E1255" s="15" t="s">
        <v>92</v>
      </c>
      <c r="F1255" s="15" t="s">
        <v>67</v>
      </c>
      <c r="G1255" s="15" t="s">
        <v>73</v>
      </c>
      <c r="H1255" s="15" t="s">
        <v>71</v>
      </c>
      <c r="I1255" s="16">
        <v>39588</v>
      </c>
      <c r="J1255" s="16">
        <v>27844</v>
      </c>
      <c r="K1255" s="16">
        <v>38178</v>
      </c>
      <c r="L1255" s="17">
        <v>276</v>
      </c>
      <c r="M1255" s="17">
        <v>23.8</v>
      </c>
      <c r="N1255" s="17">
        <f t="shared" si="57"/>
        <v>252.2</v>
      </c>
      <c r="O1255" s="17">
        <v>168.4</v>
      </c>
      <c r="P1255" s="17">
        <v>240.5</v>
      </c>
      <c r="Q1255" s="17">
        <v>156.5</v>
      </c>
      <c r="R1255" s="17">
        <f t="shared" si="58"/>
        <v>95.699999999999989</v>
      </c>
      <c r="S1255" s="17">
        <v>105.5</v>
      </c>
      <c r="T1255" s="17">
        <f t="shared" si="59"/>
        <v>62.900000000000006</v>
      </c>
    </row>
    <row r="1256" spans="1:20" x14ac:dyDescent="0.35">
      <c r="A1256" s="14" t="s">
        <v>103</v>
      </c>
      <c r="B1256" s="15" t="s">
        <v>104</v>
      </c>
      <c r="C1256" s="15" t="s">
        <v>93</v>
      </c>
      <c r="D1256" s="15" t="s">
        <v>97</v>
      </c>
      <c r="E1256" s="15" t="s">
        <v>92</v>
      </c>
      <c r="F1256" s="15" t="s">
        <v>67</v>
      </c>
      <c r="G1256" s="15" t="s">
        <v>73</v>
      </c>
      <c r="H1256" s="15" t="s">
        <v>72</v>
      </c>
      <c r="I1256" s="16">
        <v>11669</v>
      </c>
      <c r="J1256" s="16">
        <v>8051</v>
      </c>
      <c r="K1256" s="16">
        <v>11356</v>
      </c>
      <c r="L1256" s="17">
        <v>106.7</v>
      </c>
      <c r="M1256" s="17">
        <v>8.1999999999999993</v>
      </c>
      <c r="N1256" s="17">
        <f t="shared" si="57"/>
        <v>98.5</v>
      </c>
      <c r="O1256" s="17">
        <v>65.3</v>
      </c>
      <c r="P1256" s="17">
        <v>94.9</v>
      </c>
      <c r="Q1256" s="17">
        <v>62.4</v>
      </c>
      <c r="R1256" s="17">
        <f t="shared" si="58"/>
        <v>36.1</v>
      </c>
      <c r="S1256" s="17">
        <v>42.3</v>
      </c>
      <c r="T1256" s="17">
        <f t="shared" si="59"/>
        <v>23</v>
      </c>
    </row>
    <row r="1257" spans="1:20" x14ac:dyDescent="0.35">
      <c r="A1257" s="14" t="s">
        <v>103</v>
      </c>
      <c r="B1257" s="15" t="s">
        <v>104</v>
      </c>
      <c r="C1257" s="15" t="s">
        <v>93</v>
      </c>
      <c r="D1257" s="15" t="s">
        <v>97</v>
      </c>
      <c r="E1257" s="15" t="s">
        <v>92</v>
      </c>
      <c r="F1257" s="15" t="s">
        <v>67</v>
      </c>
      <c r="G1257" s="15" t="s">
        <v>74</v>
      </c>
      <c r="H1257" s="15" t="s">
        <v>70</v>
      </c>
      <c r="I1257" s="16">
        <v>56935</v>
      </c>
      <c r="J1257" s="16">
        <v>42127</v>
      </c>
      <c r="K1257" s="16">
        <v>55312</v>
      </c>
      <c r="L1257" s="17">
        <v>301.89999999999998</v>
      </c>
      <c r="M1257" s="17">
        <v>23.6</v>
      </c>
      <c r="N1257" s="17">
        <f t="shared" si="57"/>
        <v>278.29999999999995</v>
      </c>
      <c r="O1257" s="17">
        <v>197.3</v>
      </c>
      <c r="P1257" s="17">
        <v>266.10000000000002</v>
      </c>
      <c r="Q1257" s="17">
        <v>162.6</v>
      </c>
      <c r="R1257" s="17">
        <f t="shared" si="58"/>
        <v>115.69999999999996</v>
      </c>
      <c r="S1257" s="17">
        <v>117.1</v>
      </c>
      <c r="T1257" s="17">
        <f t="shared" si="59"/>
        <v>80.200000000000017</v>
      </c>
    </row>
    <row r="1258" spans="1:20" x14ac:dyDescent="0.35">
      <c r="A1258" s="14" t="s">
        <v>103</v>
      </c>
      <c r="B1258" s="15" t="s">
        <v>104</v>
      </c>
      <c r="C1258" s="15" t="s">
        <v>93</v>
      </c>
      <c r="D1258" s="15" t="s">
        <v>97</v>
      </c>
      <c r="E1258" s="15" t="s">
        <v>92</v>
      </c>
      <c r="F1258" s="15" t="s">
        <v>67</v>
      </c>
      <c r="G1258" s="15" t="s">
        <v>74</v>
      </c>
      <c r="H1258" s="15" t="s">
        <v>71</v>
      </c>
      <c r="I1258" s="16">
        <v>59674</v>
      </c>
      <c r="J1258" s="16">
        <v>44633</v>
      </c>
      <c r="K1258" s="16">
        <v>57547</v>
      </c>
      <c r="L1258" s="17">
        <v>386.5</v>
      </c>
      <c r="M1258" s="17">
        <v>29.8</v>
      </c>
      <c r="N1258" s="17">
        <f t="shared" si="57"/>
        <v>356.7</v>
      </c>
      <c r="O1258" s="17">
        <v>253.7</v>
      </c>
      <c r="P1258" s="17">
        <v>344.5</v>
      </c>
      <c r="Q1258" s="17">
        <v>220.9</v>
      </c>
      <c r="R1258" s="17">
        <f t="shared" si="58"/>
        <v>135.79999999999998</v>
      </c>
      <c r="S1258" s="17">
        <v>160.30000000000001</v>
      </c>
      <c r="T1258" s="17">
        <f t="shared" si="59"/>
        <v>93.399999999999977</v>
      </c>
    </row>
    <row r="1259" spans="1:20" x14ac:dyDescent="0.35">
      <c r="A1259" s="14" t="s">
        <v>103</v>
      </c>
      <c r="B1259" s="15" t="s">
        <v>104</v>
      </c>
      <c r="C1259" s="15" t="s">
        <v>93</v>
      </c>
      <c r="D1259" s="15" t="s">
        <v>97</v>
      </c>
      <c r="E1259" s="15" t="s">
        <v>92</v>
      </c>
      <c r="F1259" s="15" t="s">
        <v>67</v>
      </c>
      <c r="G1259" s="15" t="s">
        <v>75</v>
      </c>
      <c r="H1259" s="15" t="s">
        <v>71</v>
      </c>
      <c r="I1259" s="16">
        <v>51729</v>
      </c>
      <c r="J1259" s="16">
        <v>38384</v>
      </c>
      <c r="K1259" s="16">
        <v>50310</v>
      </c>
      <c r="L1259" s="17">
        <v>341.1</v>
      </c>
      <c r="M1259" s="17">
        <v>25.9</v>
      </c>
      <c r="N1259" s="17">
        <f t="shared" si="57"/>
        <v>315.20000000000005</v>
      </c>
      <c r="O1259" s="17">
        <v>224.3</v>
      </c>
      <c r="P1259" s="17">
        <v>304.10000000000002</v>
      </c>
      <c r="Q1259" s="17">
        <v>194</v>
      </c>
      <c r="R1259" s="17">
        <f t="shared" si="58"/>
        <v>121.20000000000005</v>
      </c>
      <c r="S1259" s="17">
        <v>140.5</v>
      </c>
      <c r="T1259" s="17">
        <f t="shared" si="59"/>
        <v>83.800000000000011</v>
      </c>
    </row>
    <row r="1260" spans="1:20" x14ac:dyDescent="0.35">
      <c r="A1260" s="14" t="s">
        <v>103</v>
      </c>
      <c r="B1260" s="15" t="s">
        <v>104</v>
      </c>
      <c r="C1260" s="15" t="s">
        <v>93</v>
      </c>
      <c r="D1260" s="15" t="s">
        <v>97</v>
      </c>
      <c r="E1260" s="15" t="s">
        <v>92</v>
      </c>
      <c r="F1260" s="15" t="s">
        <v>67</v>
      </c>
      <c r="G1260" s="15" t="s">
        <v>76</v>
      </c>
      <c r="H1260" s="15" t="s">
        <v>72</v>
      </c>
      <c r="I1260" s="16">
        <v>9016</v>
      </c>
      <c r="J1260" s="16">
        <v>6566</v>
      </c>
      <c r="K1260" s="16">
        <v>8817</v>
      </c>
      <c r="L1260" s="17">
        <v>97.4</v>
      </c>
      <c r="M1260" s="17">
        <v>8.3000000000000007</v>
      </c>
      <c r="N1260" s="17">
        <f t="shared" si="57"/>
        <v>89.100000000000009</v>
      </c>
      <c r="O1260" s="17">
        <v>61.3</v>
      </c>
      <c r="P1260" s="17">
        <v>85.3</v>
      </c>
      <c r="Q1260" s="17">
        <v>55.9</v>
      </c>
      <c r="R1260" s="17">
        <f t="shared" si="58"/>
        <v>33.20000000000001</v>
      </c>
      <c r="S1260" s="17">
        <v>39.200000000000003</v>
      </c>
      <c r="T1260" s="17">
        <f t="shared" si="59"/>
        <v>22.099999999999994</v>
      </c>
    </row>
    <row r="1261" spans="1:20" x14ac:dyDescent="0.35">
      <c r="A1261" s="14" t="s">
        <v>103</v>
      </c>
      <c r="B1261" s="15" t="s">
        <v>104</v>
      </c>
      <c r="C1261" s="15" t="s">
        <v>93</v>
      </c>
      <c r="D1261" s="15" t="s">
        <v>97</v>
      </c>
      <c r="E1261" s="15" t="s">
        <v>92</v>
      </c>
      <c r="F1261" s="15" t="s">
        <v>79</v>
      </c>
      <c r="G1261" s="15" t="s">
        <v>95</v>
      </c>
      <c r="H1261" s="15" t="s">
        <v>71</v>
      </c>
      <c r="I1261" s="16">
        <v>50603</v>
      </c>
      <c r="J1261" s="16">
        <v>36841</v>
      </c>
      <c r="K1261" s="16">
        <v>49113</v>
      </c>
      <c r="L1261" s="17">
        <v>199.6</v>
      </c>
      <c r="M1261" s="17">
        <v>14.3</v>
      </c>
      <c r="N1261" s="17">
        <f t="shared" si="57"/>
        <v>185.29999999999998</v>
      </c>
      <c r="O1261" s="17">
        <v>128.30000000000001</v>
      </c>
      <c r="P1261" s="17">
        <v>179.1</v>
      </c>
      <c r="Q1261" s="17">
        <v>113.4</v>
      </c>
      <c r="R1261" s="17">
        <f t="shared" si="58"/>
        <v>71.899999999999977</v>
      </c>
      <c r="S1261" s="17">
        <v>79.400000000000006</v>
      </c>
      <c r="T1261" s="17">
        <f t="shared" si="59"/>
        <v>48.900000000000006</v>
      </c>
    </row>
    <row r="1262" spans="1:20" x14ac:dyDescent="0.35">
      <c r="A1262" s="14" t="s">
        <v>103</v>
      </c>
      <c r="B1262" s="15" t="s">
        <v>104</v>
      </c>
      <c r="C1262" s="15" t="s">
        <v>93</v>
      </c>
      <c r="D1262" s="15" t="s">
        <v>97</v>
      </c>
      <c r="E1262" s="15" t="s">
        <v>92</v>
      </c>
      <c r="F1262" s="15" t="s">
        <v>81</v>
      </c>
      <c r="G1262" s="15" t="s">
        <v>82</v>
      </c>
      <c r="H1262" s="15" t="s">
        <v>71</v>
      </c>
      <c r="I1262" s="16">
        <v>16695</v>
      </c>
      <c r="J1262" s="16">
        <v>12033</v>
      </c>
      <c r="K1262" s="16">
        <v>16241</v>
      </c>
      <c r="L1262" s="17">
        <v>147.1</v>
      </c>
      <c r="M1262" s="17">
        <v>13.1</v>
      </c>
      <c r="N1262" s="17">
        <f t="shared" si="57"/>
        <v>134</v>
      </c>
      <c r="O1262" s="17">
        <v>92.3</v>
      </c>
      <c r="P1262" s="17">
        <v>128.1</v>
      </c>
      <c r="Q1262" s="17">
        <v>83.2</v>
      </c>
      <c r="R1262" s="17">
        <f t="shared" si="58"/>
        <v>50.8</v>
      </c>
      <c r="S1262" s="17">
        <v>58.6</v>
      </c>
      <c r="T1262" s="17">
        <f t="shared" si="59"/>
        <v>33.699999999999996</v>
      </c>
    </row>
    <row r="1263" spans="1:20" x14ac:dyDescent="0.35">
      <c r="A1263" s="14" t="s">
        <v>103</v>
      </c>
      <c r="B1263" s="15" t="s">
        <v>104</v>
      </c>
      <c r="C1263" s="15" t="s">
        <v>93</v>
      </c>
      <c r="D1263" s="15" t="s">
        <v>97</v>
      </c>
      <c r="E1263" s="15" t="s">
        <v>92</v>
      </c>
      <c r="F1263" s="15" t="s">
        <v>83</v>
      </c>
      <c r="G1263" s="15" t="s">
        <v>84</v>
      </c>
      <c r="H1263" s="15" t="s">
        <v>72</v>
      </c>
      <c r="I1263" s="16">
        <v>7598</v>
      </c>
      <c r="J1263" s="16">
        <v>5052</v>
      </c>
      <c r="K1263" s="16">
        <v>7434</v>
      </c>
      <c r="L1263" s="17">
        <v>204</v>
      </c>
      <c r="M1263" s="17">
        <v>16.5</v>
      </c>
      <c r="N1263" s="17">
        <f t="shared" si="57"/>
        <v>187.5</v>
      </c>
      <c r="O1263" s="17">
        <v>118.8</v>
      </c>
      <c r="P1263" s="17">
        <v>180.6</v>
      </c>
      <c r="Q1263" s="17">
        <v>111.4</v>
      </c>
      <c r="R1263" s="17">
        <f t="shared" si="58"/>
        <v>76.099999999999994</v>
      </c>
      <c r="S1263" s="17">
        <v>71.7</v>
      </c>
      <c r="T1263" s="17">
        <f t="shared" si="59"/>
        <v>47.099999999999994</v>
      </c>
    </row>
    <row r="1264" spans="1:20" x14ac:dyDescent="0.35">
      <c r="A1264" s="14" t="s">
        <v>103</v>
      </c>
      <c r="B1264" s="15" t="s">
        <v>104</v>
      </c>
      <c r="C1264" s="15" t="s">
        <v>93</v>
      </c>
      <c r="D1264" s="15" t="s">
        <v>98</v>
      </c>
      <c r="E1264" s="15" t="s">
        <v>66</v>
      </c>
      <c r="F1264" s="15" t="s">
        <v>67</v>
      </c>
      <c r="G1264" s="15" t="s">
        <v>68</v>
      </c>
      <c r="H1264" s="15" t="s">
        <v>69</v>
      </c>
      <c r="I1264" s="16">
        <v>95674</v>
      </c>
      <c r="J1264" s="16">
        <v>86444</v>
      </c>
      <c r="K1264" s="16">
        <v>93654</v>
      </c>
      <c r="L1264" s="17">
        <v>420.7</v>
      </c>
      <c r="M1264" s="17">
        <v>56.7</v>
      </c>
      <c r="N1264" s="17">
        <f t="shared" si="57"/>
        <v>364</v>
      </c>
      <c r="O1264" s="17">
        <v>312.39999999999998</v>
      </c>
      <c r="P1264" s="17">
        <v>354.1</v>
      </c>
      <c r="Q1264" s="17">
        <v>205.2</v>
      </c>
      <c r="R1264" s="17">
        <f t="shared" si="58"/>
        <v>158.80000000000001</v>
      </c>
      <c r="S1264" s="17">
        <v>180.1</v>
      </c>
      <c r="T1264" s="17">
        <f t="shared" si="59"/>
        <v>132.29999999999998</v>
      </c>
    </row>
    <row r="1265" spans="1:20" x14ac:dyDescent="0.35">
      <c r="A1265" s="14" t="s">
        <v>103</v>
      </c>
      <c r="B1265" s="15" t="s">
        <v>104</v>
      </c>
      <c r="C1265" s="15" t="s">
        <v>93</v>
      </c>
      <c r="D1265" s="15" t="s">
        <v>98</v>
      </c>
      <c r="E1265" s="15" t="s">
        <v>66</v>
      </c>
      <c r="F1265" s="15" t="s">
        <v>67</v>
      </c>
      <c r="G1265" s="15" t="s">
        <v>68</v>
      </c>
      <c r="H1265" s="15" t="s">
        <v>70</v>
      </c>
      <c r="I1265" s="16">
        <v>127834</v>
      </c>
      <c r="J1265" s="16">
        <v>111801</v>
      </c>
      <c r="K1265" s="16">
        <v>124162</v>
      </c>
      <c r="L1265" s="17">
        <v>658.9</v>
      </c>
      <c r="M1265" s="17">
        <v>85.9</v>
      </c>
      <c r="N1265" s="17">
        <f t="shared" si="57"/>
        <v>573</v>
      </c>
      <c r="O1265" s="17">
        <v>477.3</v>
      </c>
      <c r="P1265" s="17">
        <v>557.29999999999995</v>
      </c>
      <c r="Q1265" s="17">
        <v>322.3</v>
      </c>
      <c r="R1265" s="17">
        <f t="shared" si="58"/>
        <v>250.7</v>
      </c>
      <c r="S1265" s="17">
        <v>274.89999999999998</v>
      </c>
      <c r="T1265" s="17">
        <f t="shared" si="59"/>
        <v>202.40000000000003</v>
      </c>
    </row>
    <row r="1266" spans="1:20" x14ac:dyDescent="0.35">
      <c r="A1266" s="14" t="s">
        <v>103</v>
      </c>
      <c r="B1266" s="15" t="s">
        <v>104</v>
      </c>
      <c r="C1266" s="15" t="s">
        <v>93</v>
      </c>
      <c r="D1266" s="15" t="s">
        <v>98</v>
      </c>
      <c r="E1266" s="15" t="s">
        <v>66</v>
      </c>
      <c r="F1266" s="15" t="s">
        <v>67</v>
      </c>
      <c r="G1266" s="15" t="s">
        <v>68</v>
      </c>
      <c r="H1266" s="15" t="s">
        <v>71</v>
      </c>
      <c r="I1266" s="16">
        <v>268244</v>
      </c>
      <c r="J1266" s="16">
        <v>239677</v>
      </c>
      <c r="K1266" s="16">
        <v>259699</v>
      </c>
      <c r="L1266" s="17">
        <v>1788.6</v>
      </c>
      <c r="M1266" s="17">
        <v>260</v>
      </c>
      <c r="N1266" s="17">
        <f t="shared" si="57"/>
        <v>1528.6</v>
      </c>
      <c r="O1266" s="17">
        <v>1294.8</v>
      </c>
      <c r="P1266" s="17">
        <v>1485.9</v>
      </c>
      <c r="Q1266" s="17">
        <v>944.4</v>
      </c>
      <c r="R1266" s="17">
        <f t="shared" si="58"/>
        <v>584.19999999999993</v>
      </c>
      <c r="S1266" s="17">
        <v>811.3</v>
      </c>
      <c r="T1266" s="17">
        <f t="shared" si="59"/>
        <v>483.5</v>
      </c>
    </row>
    <row r="1267" spans="1:20" x14ac:dyDescent="0.35">
      <c r="A1267" s="14" t="s">
        <v>103</v>
      </c>
      <c r="B1267" s="15" t="s">
        <v>104</v>
      </c>
      <c r="C1267" s="15" t="s">
        <v>93</v>
      </c>
      <c r="D1267" s="15" t="s">
        <v>98</v>
      </c>
      <c r="E1267" s="15" t="s">
        <v>66</v>
      </c>
      <c r="F1267" s="15" t="s">
        <v>67</v>
      </c>
      <c r="G1267" s="15" t="s">
        <v>68</v>
      </c>
      <c r="H1267" s="15" t="s">
        <v>72</v>
      </c>
      <c r="I1267" s="16">
        <v>109892</v>
      </c>
      <c r="J1267" s="16">
        <v>97434</v>
      </c>
      <c r="K1267" s="16">
        <v>106436</v>
      </c>
      <c r="L1267" s="17">
        <v>987.7</v>
      </c>
      <c r="M1267" s="17">
        <v>145</v>
      </c>
      <c r="N1267" s="17">
        <f t="shared" si="57"/>
        <v>842.7</v>
      </c>
      <c r="O1267" s="17">
        <v>717.5</v>
      </c>
      <c r="P1267" s="17">
        <v>813.4</v>
      </c>
      <c r="Q1267" s="17">
        <v>533.70000000000005</v>
      </c>
      <c r="R1267" s="17">
        <f t="shared" si="58"/>
        <v>309</v>
      </c>
      <c r="S1267" s="17">
        <v>462.9</v>
      </c>
      <c r="T1267" s="17">
        <f t="shared" si="59"/>
        <v>254.60000000000002</v>
      </c>
    </row>
    <row r="1268" spans="1:20" x14ac:dyDescent="0.35">
      <c r="A1268" s="14" t="s">
        <v>103</v>
      </c>
      <c r="B1268" s="15" t="s">
        <v>104</v>
      </c>
      <c r="C1268" s="15" t="s">
        <v>93</v>
      </c>
      <c r="D1268" s="15" t="s">
        <v>98</v>
      </c>
      <c r="E1268" s="15" t="s">
        <v>66</v>
      </c>
      <c r="F1268" s="15" t="s">
        <v>67</v>
      </c>
      <c r="G1268" s="15" t="s">
        <v>73</v>
      </c>
      <c r="H1268" s="15" t="s">
        <v>71</v>
      </c>
      <c r="I1268" s="16">
        <v>72258</v>
      </c>
      <c r="J1268" s="16">
        <v>58857</v>
      </c>
      <c r="K1268" s="16">
        <v>70642</v>
      </c>
      <c r="L1268" s="17">
        <v>487.6</v>
      </c>
      <c r="M1268" s="17">
        <v>66.2</v>
      </c>
      <c r="N1268" s="17">
        <f t="shared" si="57"/>
        <v>421.40000000000003</v>
      </c>
      <c r="O1268" s="17">
        <v>324.2</v>
      </c>
      <c r="P1268" s="17">
        <v>405.4</v>
      </c>
      <c r="Q1268" s="17">
        <v>261.8</v>
      </c>
      <c r="R1268" s="17">
        <f t="shared" si="58"/>
        <v>159.60000000000002</v>
      </c>
      <c r="S1268" s="17">
        <v>203.1</v>
      </c>
      <c r="T1268" s="17">
        <f t="shared" si="59"/>
        <v>121.1</v>
      </c>
    </row>
    <row r="1269" spans="1:20" x14ac:dyDescent="0.35">
      <c r="A1269" s="14" t="s">
        <v>103</v>
      </c>
      <c r="B1269" s="15" t="s">
        <v>104</v>
      </c>
      <c r="C1269" s="15" t="s">
        <v>93</v>
      </c>
      <c r="D1269" s="15" t="s">
        <v>98</v>
      </c>
      <c r="E1269" s="15" t="s">
        <v>66</v>
      </c>
      <c r="F1269" s="15" t="s">
        <v>67</v>
      </c>
      <c r="G1269" s="15" t="s">
        <v>73</v>
      </c>
      <c r="H1269" s="15" t="s">
        <v>72</v>
      </c>
      <c r="I1269" s="16">
        <v>36017</v>
      </c>
      <c r="J1269" s="16">
        <v>28933</v>
      </c>
      <c r="K1269" s="16">
        <v>35064</v>
      </c>
      <c r="L1269" s="17">
        <v>322.7</v>
      </c>
      <c r="M1269" s="17">
        <v>45.9</v>
      </c>
      <c r="N1269" s="17">
        <f t="shared" si="57"/>
        <v>276.8</v>
      </c>
      <c r="O1269" s="17">
        <v>210</v>
      </c>
      <c r="P1269" s="17">
        <v>267</v>
      </c>
      <c r="Q1269" s="17">
        <v>179.9</v>
      </c>
      <c r="R1269" s="17">
        <f t="shared" si="58"/>
        <v>96.9</v>
      </c>
      <c r="S1269" s="17">
        <v>139.1</v>
      </c>
      <c r="T1269" s="17">
        <f t="shared" si="59"/>
        <v>70.900000000000006</v>
      </c>
    </row>
    <row r="1270" spans="1:20" x14ac:dyDescent="0.35">
      <c r="A1270" s="14" t="s">
        <v>103</v>
      </c>
      <c r="B1270" s="15" t="s">
        <v>104</v>
      </c>
      <c r="C1270" s="15" t="s">
        <v>93</v>
      </c>
      <c r="D1270" s="15" t="s">
        <v>98</v>
      </c>
      <c r="E1270" s="15" t="s">
        <v>66</v>
      </c>
      <c r="F1270" s="15" t="s">
        <v>67</v>
      </c>
      <c r="G1270" s="15" t="s">
        <v>74</v>
      </c>
      <c r="H1270" s="15" t="s">
        <v>70</v>
      </c>
      <c r="I1270" s="16">
        <v>57542</v>
      </c>
      <c r="J1270" s="16">
        <v>49799</v>
      </c>
      <c r="K1270" s="16">
        <v>55556</v>
      </c>
      <c r="L1270" s="17">
        <v>308.7</v>
      </c>
      <c r="M1270" s="17">
        <v>46.3</v>
      </c>
      <c r="N1270" s="17">
        <f t="shared" si="57"/>
        <v>262.39999999999998</v>
      </c>
      <c r="O1270" s="17">
        <v>214.3</v>
      </c>
      <c r="P1270" s="17">
        <v>253.3</v>
      </c>
      <c r="Q1270" s="17">
        <v>152.19999999999999</v>
      </c>
      <c r="R1270" s="17">
        <f t="shared" si="58"/>
        <v>110.19999999999999</v>
      </c>
      <c r="S1270" s="17">
        <v>126</v>
      </c>
      <c r="T1270" s="17">
        <f t="shared" si="59"/>
        <v>88.300000000000011</v>
      </c>
    </row>
    <row r="1271" spans="1:20" x14ac:dyDescent="0.35">
      <c r="A1271" s="14" t="s">
        <v>103</v>
      </c>
      <c r="B1271" s="15" t="s">
        <v>104</v>
      </c>
      <c r="C1271" s="15" t="s">
        <v>93</v>
      </c>
      <c r="D1271" s="15" t="s">
        <v>98</v>
      </c>
      <c r="E1271" s="15" t="s">
        <v>66</v>
      </c>
      <c r="F1271" s="15" t="s">
        <v>67</v>
      </c>
      <c r="G1271" s="15" t="s">
        <v>74</v>
      </c>
      <c r="H1271" s="15" t="s">
        <v>71</v>
      </c>
      <c r="I1271" s="16">
        <v>120986</v>
      </c>
      <c r="J1271" s="16">
        <v>108362</v>
      </c>
      <c r="K1271" s="16">
        <v>117568</v>
      </c>
      <c r="L1271" s="17">
        <v>782.4</v>
      </c>
      <c r="M1271" s="17">
        <v>116.3</v>
      </c>
      <c r="N1271" s="17">
        <f t="shared" si="57"/>
        <v>666.1</v>
      </c>
      <c r="O1271" s="17">
        <v>564.4</v>
      </c>
      <c r="P1271" s="17">
        <v>644.79999999999995</v>
      </c>
      <c r="Q1271" s="17">
        <v>414.7</v>
      </c>
      <c r="R1271" s="17">
        <f t="shared" si="58"/>
        <v>251.40000000000003</v>
      </c>
      <c r="S1271" s="17">
        <v>359.3</v>
      </c>
      <c r="T1271" s="17">
        <f t="shared" si="59"/>
        <v>205.09999999999997</v>
      </c>
    </row>
    <row r="1272" spans="1:20" x14ac:dyDescent="0.35">
      <c r="A1272" s="14" t="s">
        <v>103</v>
      </c>
      <c r="B1272" s="15" t="s">
        <v>104</v>
      </c>
      <c r="C1272" s="15" t="s">
        <v>93</v>
      </c>
      <c r="D1272" s="15" t="s">
        <v>98</v>
      </c>
      <c r="E1272" s="15" t="s">
        <v>66</v>
      </c>
      <c r="F1272" s="15" t="s">
        <v>67</v>
      </c>
      <c r="G1272" s="15" t="s">
        <v>75</v>
      </c>
      <c r="H1272" s="15" t="s">
        <v>71</v>
      </c>
      <c r="I1272" s="16">
        <v>92606</v>
      </c>
      <c r="J1272" s="16">
        <v>81757</v>
      </c>
      <c r="K1272" s="16">
        <v>90703</v>
      </c>
      <c r="L1272" s="17">
        <v>590.1</v>
      </c>
      <c r="M1272" s="17">
        <v>76.8</v>
      </c>
      <c r="N1272" s="17">
        <f t="shared" si="57"/>
        <v>513.30000000000007</v>
      </c>
      <c r="O1272" s="17">
        <v>431.3</v>
      </c>
      <c r="P1272" s="17">
        <v>493.6</v>
      </c>
      <c r="Q1272" s="17">
        <v>322.5</v>
      </c>
      <c r="R1272" s="17">
        <f t="shared" si="58"/>
        <v>190.80000000000007</v>
      </c>
      <c r="S1272" s="17">
        <v>275.7</v>
      </c>
      <c r="T1272" s="17">
        <f t="shared" si="59"/>
        <v>155.60000000000002</v>
      </c>
    </row>
    <row r="1273" spans="1:20" x14ac:dyDescent="0.35">
      <c r="A1273" s="14" t="s">
        <v>103</v>
      </c>
      <c r="B1273" s="15" t="s">
        <v>104</v>
      </c>
      <c r="C1273" s="15" t="s">
        <v>93</v>
      </c>
      <c r="D1273" s="15" t="s">
        <v>98</v>
      </c>
      <c r="E1273" s="15" t="s">
        <v>66</v>
      </c>
      <c r="F1273" s="15" t="s">
        <v>67</v>
      </c>
      <c r="G1273" s="15" t="s">
        <v>76</v>
      </c>
      <c r="H1273" s="15" t="s">
        <v>72</v>
      </c>
      <c r="I1273" s="16">
        <v>26536</v>
      </c>
      <c r="J1273" s="16">
        <v>22684</v>
      </c>
      <c r="K1273" s="16">
        <v>25850</v>
      </c>
      <c r="L1273" s="17">
        <v>292.5</v>
      </c>
      <c r="M1273" s="17">
        <v>43.6</v>
      </c>
      <c r="N1273" s="17">
        <f t="shared" si="57"/>
        <v>248.9</v>
      </c>
      <c r="O1273" s="17">
        <v>201.9</v>
      </c>
      <c r="P1273" s="17">
        <v>242.2</v>
      </c>
      <c r="Q1273" s="17">
        <v>154.19999999999999</v>
      </c>
      <c r="R1273" s="17">
        <f t="shared" si="58"/>
        <v>94.700000000000017</v>
      </c>
      <c r="S1273" s="17">
        <v>127.1</v>
      </c>
      <c r="T1273" s="17">
        <f t="shared" si="59"/>
        <v>74.800000000000011</v>
      </c>
    </row>
    <row r="1274" spans="1:20" x14ac:dyDescent="0.35">
      <c r="A1274" s="14" t="s">
        <v>103</v>
      </c>
      <c r="B1274" s="15" t="s">
        <v>104</v>
      </c>
      <c r="C1274" s="15" t="s">
        <v>93</v>
      </c>
      <c r="D1274" s="15" t="s">
        <v>98</v>
      </c>
      <c r="E1274" s="15" t="s">
        <v>66</v>
      </c>
      <c r="F1274" s="15" t="s">
        <v>79</v>
      </c>
      <c r="G1274" s="15" t="s">
        <v>95</v>
      </c>
      <c r="H1274" s="15" t="s">
        <v>71</v>
      </c>
      <c r="I1274" s="16">
        <v>89498</v>
      </c>
      <c r="J1274" s="16">
        <v>77289</v>
      </c>
      <c r="K1274" s="16">
        <v>86918</v>
      </c>
      <c r="L1274" s="17">
        <v>351.4</v>
      </c>
      <c r="M1274" s="17">
        <v>48</v>
      </c>
      <c r="N1274" s="17">
        <f t="shared" si="57"/>
        <v>303.39999999999998</v>
      </c>
      <c r="O1274" s="17">
        <v>250.9</v>
      </c>
      <c r="P1274" s="17">
        <v>292.39999999999998</v>
      </c>
      <c r="Q1274" s="17">
        <v>183.6</v>
      </c>
      <c r="R1274" s="17">
        <f t="shared" si="58"/>
        <v>119.79999999999998</v>
      </c>
      <c r="S1274" s="17">
        <v>155.1</v>
      </c>
      <c r="T1274" s="17">
        <f t="shared" si="59"/>
        <v>95.800000000000011</v>
      </c>
    </row>
    <row r="1275" spans="1:20" x14ac:dyDescent="0.35">
      <c r="A1275" s="14" t="s">
        <v>103</v>
      </c>
      <c r="B1275" s="15" t="s">
        <v>104</v>
      </c>
      <c r="C1275" s="15" t="s">
        <v>93</v>
      </c>
      <c r="D1275" s="15" t="s">
        <v>98</v>
      </c>
      <c r="E1275" s="15" t="s">
        <v>66</v>
      </c>
      <c r="F1275" s="15" t="s">
        <v>81</v>
      </c>
      <c r="G1275" s="15" t="s">
        <v>82</v>
      </c>
      <c r="H1275" s="15" t="s">
        <v>71</v>
      </c>
      <c r="I1275" s="16">
        <v>30045</v>
      </c>
      <c r="J1275" s="16">
        <v>25965</v>
      </c>
      <c r="K1275" s="16">
        <v>29309</v>
      </c>
      <c r="L1275" s="17">
        <v>265</v>
      </c>
      <c r="M1275" s="17">
        <v>38.299999999999997</v>
      </c>
      <c r="N1275" s="17">
        <f t="shared" si="57"/>
        <v>226.7</v>
      </c>
      <c r="O1275" s="17">
        <v>186.4</v>
      </c>
      <c r="P1275" s="17">
        <v>217</v>
      </c>
      <c r="Q1275" s="17">
        <v>140.5</v>
      </c>
      <c r="R1275" s="17">
        <f t="shared" si="58"/>
        <v>86.199999999999989</v>
      </c>
      <c r="S1275" s="17">
        <v>117.2</v>
      </c>
      <c r="T1275" s="17">
        <f t="shared" si="59"/>
        <v>69.2</v>
      </c>
    </row>
    <row r="1276" spans="1:20" x14ac:dyDescent="0.35">
      <c r="A1276" s="14" t="s">
        <v>103</v>
      </c>
      <c r="B1276" s="15" t="s">
        <v>104</v>
      </c>
      <c r="C1276" s="15" t="s">
        <v>93</v>
      </c>
      <c r="D1276" s="15" t="s">
        <v>98</v>
      </c>
      <c r="E1276" s="15" t="s">
        <v>66</v>
      </c>
      <c r="F1276" s="15" t="s">
        <v>83</v>
      </c>
      <c r="G1276" s="15" t="s">
        <v>84</v>
      </c>
      <c r="H1276" s="15" t="s">
        <v>72</v>
      </c>
      <c r="I1276" s="16">
        <v>31129</v>
      </c>
      <c r="J1276" s="16">
        <v>24425</v>
      </c>
      <c r="K1276" s="16">
        <v>30217</v>
      </c>
      <c r="L1276" s="17">
        <v>832.4</v>
      </c>
      <c r="M1276" s="17">
        <v>121.7</v>
      </c>
      <c r="N1276" s="17">
        <f t="shared" si="57"/>
        <v>710.69999999999993</v>
      </c>
      <c r="O1276" s="17">
        <v>527</v>
      </c>
      <c r="P1276" s="17">
        <v>691.6</v>
      </c>
      <c r="Q1276" s="17">
        <v>418.2</v>
      </c>
      <c r="R1276" s="17">
        <f t="shared" si="58"/>
        <v>292.49999999999994</v>
      </c>
      <c r="S1276" s="17">
        <v>312.5</v>
      </c>
      <c r="T1276" s="17">
        <f t="shared" si="59"/>
        <v>214.5</v>
      </c>
    </row>
    <row r="1277" spans="1:20" x14ac:dyDescent="0.35">
      <c r="A1277" s="14" t="s">
        <v>103</v>
      </c>
      <c r="B1277" s="15" t="s">
        <v>104</v>
      </c>
      <c r="C1277" s="15" t="s">
        <v>93</v>
      </c>
      <c r="D1277" s="15" t="s">
        <v>98</v>
      </c>
      <c r="E1277" s="15" t="s">
        <v>89</v>
      </c>
      <c r="F1277" s="15" t="s">
        <v>67</v>
      </c>
      <c r="G1277" s="15" t="s">
        <v>68</v>
      </c>
      <c r="H1277" s="15" t="s">
        <v>69</v>
      </c>
      <c r="I1277" s="16">
        <v>589430</v>
      </c>
      <c r="J1277" s="16">
        <v>547100</v>
      </c>
      <c r="K1277" s="16">
        <v>571988</v>
      </c>
      <c r="L1277" s="17">
        <v>2576.1999999999998</v>
      </c>
      <c r="M1277" s="17">
        <v>155.1</v>
      </c>
      <c r="N1277" s="17">
        <f t="shared" si="57"/>
        <v>2421.1</v>
      </c>
      <c r="O1277" s="17">
        <v>2138.4</v>
      </c>
      <c r="P1277" s="17">
        <v>2347.6999999999998</v>
      </c>
      <c r="Q1277" s="17">
        <v>1358.9</v>
      </c>
      <c r="R1277" s="17">
        <f t="shared" si="58"/>
        <v>1062.1999999999998</v>
      </c>
      <c r="S1277" s="17">
        <v>1223.0999999999999</v>
      </c>
      <c r="T1277" s="17">
        <f t="shared" si="59"/>
        <v>915.30000000000018</v>
      </c>
    </row>
    <row r="1278" spans="1:20" x14ac:dyDescent="0.35">
      <c r="A1278" s="14" t="s">
        <v>103</v>
      </c>
      <c r="B1278" s="15" t="s">
        <v>104</v>
      </c>
      <c r="C1278" s="15" t="s">
        <v>93</v>
      </c>
      <c r="D1278" s="15" t="s">
        <v>98</v>
      </c>
      <c r="E1278" s="15" t="s">
        <v>89</v>
      </c>
      <c r="F1278" s="15" t="s">
        <v>67</v>
      </c>
      <c r="G1278" s="15" t="s">
        <v>68</v>
      </c>
      <c r="H1278" s="15" t="s">
        <v>70</v>
      </c>
      <c r="I1278" s="16">
        <v>383512</v>
      </c>
      <c r="J1278" s="16">
        <v>340457</v>
      </c>
      <c r="K1278" s="16">
        <v>371535</v>
      </c>
      <c r="L1278" s="17">
        <v>2031.6</v>
      </c>
      <c r="M1278" s="17">
        <v>161.4</v>
      </c>
      <c r="N1278" s="17">
        <f t="shared" si="57"/>
        <v>1870.1999999999998</v>
      </c>
      <c r="O1278" s="17">
        <v>1577.8</v>
      </c>
      <c r="P1278" s="17">
        <v>1804.3</v>
      </c>
      <c r="Q1278" s="17">
        <v>1040.5999999999999</v>
      </c>
      <c r="R1278" s="17">
        <f t="shared" si="58"/>
        <v>829.59999999999991</v>
      </c>
      <c r="S1278" s="17">
        <v>895.2</v>
      </c>
      <c r="T1278" s="17">
        <f t="shared" si="59"/>
        <v>682.59999999999991</v>
      </c>
    </row>
    <row r="1279" spans="1:20" x14ac:dyDescent="0.35">
      <c r="A1279" s="14" t="s">
        <v>103</v>
      </c>
      <c r="B1279" s="15" t="s">
        <v>104</v>
      </c>
      <c r="C1279" s="15" t="s">
        <v>93</v>
      </c>
      <c r="D1279" s="15" t="s">
        <v>98</v>
      </c>
      <c r="E1279" s="15" t="s">
        <v>89</v>
      </c>
      <c r="F1279" s="15" t="s">
        <v>67</v>
      </c>
      <c r="G1279" s="15" t="s">
        <v>68</v>
      </c>
      <c r="H1279" s="15" t="s">
        <v>71</v>
      </c>
      <c r="I1279" s="16">
        <v>334422</v>
      </c>
      <c r="J1279" s="16">
        <v>304000</v>
      </c>
      <c r="K1279" s="16">
        <v>326521</v>
      </c>
      <c r="L1279" s="17">
        <v>2162.5</v>
      </c>
      <c r="M1279" s="17">
        <v>162.5</v>
      </c>
      <c r="N1279" s="17">
        <f t="shared" si="57"/>
        <v>2000</v>
      </c>
      <c r="O1279" s="17">
        <v>1745.4</v>
      </c>
      <c r="P1279" s="17">
        <v>1947.2</v>
      </c>
      <c r="Q1279" s="17">
        <v>1240.9000000000001</v>
      </c>
      <c r="R1279" s="17">
        <f t="shared" si="58"/>
        <v>759.09999999999991</v>
      </c>
      <c r="S1279" s="17">
        <v>1094.2</v>
      </c>
      <c r="T1279" s="17">
        <f t="shared" si="59"/>
        <v>651.20000000000005</v>
      </c>
    </row>
    <row r="1280" spans="1:20" x14ac:dyDescent="0.35">
      <c r="A1280" s="14" t="s">
        <v>103</v>
      </c>
      <c r="B1280" s="15" t="s">
        <v>104</v>
      </c>
      <c r="C1280" s="15" t="s">
        <v>93</v>
      </c>
      <c r="D1280" s="15" t="s">
        <v>98</v>
      </c>
      <c r="E1280" s="15" t="s">
        <v>89</v>
      </c>
      <c r="F1280" s="15" t="s">
        <v>67</v>
      </c>
      <c r="G1280" s="15" t="s">
        <v>68</v>
      </c>
      <c r="H1280" s="15" t="s">
        <v>72</v>
      </c>
      <c r="I1280" s="16">
        <v>80204</v>
      </c>
      <c r="J1280" s="16">
        <v>70712</v>
      </c>
      <c r="K1280" s="16">
        <v>77649</v>
      </c>
      <c r="L1280" s="17">
        <v>697.4</v>
      </c>
      <c r="M1280" s="17">
        <v>46.7</v>
      </c>
      <c r="N1280" s="17">
        <f t="shared" si="57"/>
        <v>650.69999999999993</v>
      </c>
      <c r="O1280" s="17">
        <v>545.9</v>
      </c>
      <c r="P1280" s="17">
        <v>623.70000000000005</v>
      </c>
      <c r="Q1280" s="17">
        <v>413.6</v>
      </c>
      <c r="R1280" s="17">
        <f t="shared" si="58"/>
        <v>237.09999999999991</v>
      </c>
      <c r="S1280" s="17">
        <v>350.7</v>
      </c>
      <c r="T1280" s="17">
        <f t="shared" si="59"/>
        <v>195.2</v>
      </c>
    </row>
    <row r="1281" spans="1:20" x14ac:dyDescent="0.35">
      <c r="A1281" s="14" t="s">
        <v>103</v>
      </c>
      <c r="B1281" s="15" t="s">
        <v>104</v>
      </c>
      <c r="C1281" s="15" t="s">
        <v>93</v>
      </c>
      <c r="D1281" s="15" t="s">
        <v>98</v>
      </c>
      <c r="E1281" s="15" t="s">
        <v>89</v>
      </c>
      <c r="F1281" s="15" t="s">
        <v>67</v>
      </c>
      <c r="G1281" s="15" t="s">
        <v>73</v>
      </c>
      <c r="H1281" s="15" t="s">
        <v>71</v>
      </c>
      <c r="I1281" s="16">
        <v>92406</v>
      </c>
      <c r="J1281" s="16">
        <v>76970</v>
      </c>
      <c r="K1281" s="16">
        <v>89603</v>
      </c>
      <c r="L1281" s="17">
        <v>593.1</v>
      </c>
      <c r="M1281" s="17">
        <v>46.8</v>
      </c>
      <c r="N1281" s="17">
        <f t="shared" si="57"/>
        <v>546.30000000000007</v>
      </c>
      <c r="O1281" s="17">
        <v>431.4</v>
      </c>
      <c r="P1281" s="17">
        <v>532.1</v>
      </c>
      <c r="Q1281" s="17">
        <v>346.8</v>
      </c>
      <c r="R1281" s="17">
        <f t="shared" si="58"/>
        <v>199.50000000000006</v>
      </c>
      <c r="S1281" s="17">
        <v>278.8</v>
      </c>
      <c r="T1281" s="17">
        <f t="shared" si="59"/>
        <v>152.59999999999997</v>
      </c>
    </row>
    <row r="1282" spans="1:20" x14ac:dyDescent="0.35">
      <c r="A1282" s="14" t="s">
        <v>103</v>
      </c>
      <c r="B1282" s="15" t="s">
        <v>104</v>
      </c>
      <c r="C1282" s="15" t="s">
        <v>93</v>
      </c>
      <c r="D1282" s="15" t="s">
        <v>98</v>
      </c>
      <c r="E1282" s="15" t="s">
        <v>89</v>
      </c>
      <c r="F1282" s="15" t="s">
        <v>67</v>
      </c>
      <c r="G1282" s="15" t="s">
        <v>73</v>
      </c>
      <c r="H1282" s="15" t="s">
        <v>72</v>
      </c>
      <c r="I1282" s="16">
        <v>22797</v>
      </c>
      <c r="J1282" s="16">
        <v>18581</v>
      </c>
      <c r="K1282" s="16">
        <v>22147</v>
      </c>
      <c r="L1282" s="17">
        <v>205.1</v>
      </c>
      <c r="M1282" s="17">
        <v>15.2</v>
      </c>
      <c r="N1282" s="17">
        <f t="shared" si="57"/>
        <v>189.9</v>
      </c>
      <c r="O1282" s="17">
        <v>147.5</v>
      </c>
      <c r="P1282" s="17">
        <v>184.6</v>
      </c>
      <c r="Q1282" s="17">
        <v>122.7</v>
      </c>
      <c r="R1282" s="17">
        <f t="shared" si="58"/>
        <v>67.2</v>
      </c>
      <c r="S1282" s="17">
        <v>96.9</v>
      </c>
      <c r="T1282" s="17">
        <f t="shared" si="59"/>
        <v>50.599999999999994</v>
      </c>
    </row>
    <row r="1283" spans="1:20" x14ac:dyDescent="0.35">
      <c r="A1283" s="14" t="s">
        <v>103</v>
      </c>
      <c r="B1283" s="15" t="s">
        <v>104</v>
      </c>
      <c r="C1283" s="15" t="s">
        <v>93</v>
      </c>
      <c r="D1283" s="15" t="s">
        <v>98</v>
      </c>
      <c r="E1283" s="15" t="s">
        <v>89</v>
      </c>
      <c r="F1283" s="15" t="s">
        <v>67</v>
      </c>
      <c r="G1283" s="15" t="s">
        <v>74</v>
      </c>
      <c r="H1283" s="15" t="s">
        <v>70</v>
      </c>
      <c r="I1283" s="16">
        <v>172516</v>
      </c>
      <c r="J1283" s="16">
        <v>153333</v>
      </c>
      <c r="K1283" s="16">
        <v>168987</v>
      </c>
      <c r="L1283" s="17">
        <v>877.3</v>
      </c>
      <c r="M1283" s="17">
        <v>61.4</v>
      </c>
      <c r="N1283" s="17">
        <f t="shared" si="57"/>
        <v>815.9</v>
      </c>
      <c r="O1283" s="17">
        <v>695.7</v>
      </c>
      <c r="P1283" s="17">
        <v>783.2</v>
      </c>
      <c r="Q1283" s="17">
        <v>466</v>
      </c>
      <c r="R1283" s="17">
        <f t="shared" si="58"/>
        <v>349.9</v>
      </c>
      <c r="S1283" s="17">
        <v>405.8</v>
      </c>
      <c r="T1283" s="17">
        <f t="shared" si="59"/>
        <v>289.90000000000003</v>
      </c>
    </row>
    <row r="1284" spans="1:20" x14ac:dyDescent="0.35">
      <c r="A1284" s="14" t="s">
        <v>103</v>
      </c>
      <c r="B1284" s="15" t="s">
        <v>104</v>
      </c>
      <c r="C1284" s="15" t="s">
        <v>93</v>
      </c>
      <c r="D1284" s="15" t="s">
        <v>98</v>
      </c>
      <c r="E1284" s="15" t="s">
        <v>89</v>
      </c>
      <c r="F1284" s="15" t="s">
        <v>67</v>
      </c>
      <c r="G1284" s="15" t="s">
        <v>74</v>
      </c>
      <c r="H1284" s="15" t="s">
        <v>71</v>
      </c>
      <c r="I1284" s="16">
        <v>144826</v>
      </c>
      <c r="J1284" s="16">
        <v>131868</v>
      </c>
      <c r="K1284" s="16">
        <v>140708</v>
      </c>
      <c r="L1284" s="17">
        <v>925.8</v>
      </c>
      <c r="M1284" s="17">
        <v>59</v>
      </c>
      <c r="N1284" s="17">
        <f t="shared" ref="N1284:N1347" si="60">L1284-M1284</f>
        <v>866.8</v>
      </c>
      <c r="O1284" s="17">
        <v>752.8</v>
      </c>
      <c r="P1284" s="17">
        <v>841</v>
      </c>
      <c r="Q1284" s="17">
        <v>546.9</v>
      </c>
      <c r="R1284" s="17">
        <f t="shared" ref="R1284:R1347" si="61">N1284-Q1284</f>
        <v>319.89999999999998</v>
      </c>
      <c r="S1284" s="17">
        <v>479.5</v>
      </c>
      <c r="T1284" s="17">
        <f t="shared" ref="T1284:T1347" si="62">O1284-S1284</f>
        <v>273.29999999999995</v>
      </c>
    </row>
    <row r="1285" spans="1:20" x14ac:dyDescent="0.35">
      <c r="A1285" s="14" t="s">
        <v>103</v>
      </c>
      <c r="B1285" s="15" t="s">
        <v>104</v>
      </c>
      <c r="C1285" s="15" t="s">
        <v>93</v>
      </c>
      <c r="D1285" s="15" t="s">
        <v>98</v>
      </c>
      <c r="E1285" s="15" t="s">
        <v>89</v>
      </c>
      <c r="F1285" s="15" t="s">
        <v>67</v>
      </c>
      <c r="G1285" s="15" t="s">
        <v>75</v>
      </c>
      <c r="H1285" s="15" t="s">
        <v>71</v>
      </c>
      <c r="I1285" s="16">
        <v>108249</v>
      </c>
      <c r="J1285" s="16">
        <v>96923</v>
      </c>
      <c r="K1285" s="16">
        <v>105187</v>
      </c>
      <c r="L1285" s="17">
        <v>692.4</v>
      </c>
      <c r="M1285" s="17">
        <v>49.8</v>
      </c>
      <c r="N1285" s="17">
        <f t="shared" si="60"/>
        <v>642.6</v>
      </c>
      <c r="O1285" s="17">
        <v>553.20000000000005</v>
      </c>
      <c r="P1285" s="17">
        <v>623.4</v>
      </c>
      <c r="Q1285" s="17">
        <v>395</v>
      </c>
      <c r="R1285" s="17">
        <f t="shared" si="61"/>
        <v>247.60000000000002</v>
      </c>
      <c r="S1285" s="17">
        <v>346.8</v>
      </c>
      <c r="T1285" s="17">
        <f t="shared" si="62"/>
        <v>206.40000000000003</v>
      </c>
    </row>
    <row r="1286" spans="1:20" x14ac:dyDescent="0.35">
      <c r="A1286" s="14" t="s">
        <v>103</v>
      </c>
      <c r="B1286" s="15" t="s">
        <v>104</v>
      </c>
      <c r="C1286" s="15" t="s">
        <v>93</v>
      </c>
      <c r="D1286" s="15" t="s">
        <v>98</v>
      </c>
      <c r="E1286" s="15" t="s">
        <v>89</v>
      </c>
      <c r="F1286" s="15" t="s">
        <v>67</v>
      </c>
      <c r="G1286" s="15" t="s">
        <v>76</v>
      </c>
      <c r="H1286" s="15" t="s">
        <v>72</v>
      </c>
      <c r="I1286" s="16">
        <v>18557</v>
      </c>
      <c r="J1286" s="16">
        <v>16080</v>
      </c>
      <c r="K1286" s="16">
        <v>17940</v>
      </c>
      <c r="L1286" s="17">
        <v>192.6</v>
      </c>
      <c r="M1286" s="17">
        <v>13.4</v>
      </c>
      <c r="N1286" s="17">
        <f t="shared" si="60"/>
        <v>179.2</v>
      </c>
      <c r="O1286" s="17">
        <v>146.6</v>
      </c>
      <c r="P1286" s="17">
        <v>172.8</v>
      </c>
      <c r="Q1286" s="17">
        <v>109.4</v>
      </c>
      <c r="R1286" s="17">
        <f t="shared" si="61"/>
        <v>69.799999999999983</v>
      </c>
      <c r="S1286" s="17">
        <v>91.7</v>
      </c>
      <c r="T1286" s="17">
        <f t="shared" si="62"/>
        <v>54.899999999999991</v>
      </c>
    </row>
    <row r="1287" spans="1:20" x14ac:dyDescent="0.35">
      <c r="A1287" s="14" t="s">
        <v>103</v>
      </c>
      <c r="B1287" s="15" t="s">
        <v>104</v>
      </c>
      <c r="C1287" s="15" t="s">
        <v>93</v>
      </c>
      <c r="D1287" s="15" t="s">
        <v>98</v>
      </c>
      <c r="E1287" s="15" t="s">
        <v>89</v>
      </c>
      <c r="F1287" s="15" t="s">
        <v>79</v>
      </c>
      <c r="G1287" s="15" t="s">
        <v>95</v>
      </c>
      <c r="H1287" s="15" t="s">
        <v>71</v>
      </c>
      <c r="I1287" s="16">
        <v>104208</v>
      </c>
      <c r="J1287" s="16">
        <v>92203</v>
      </c>
      <c r="K1287" s="16">
        <v>101414</v>
      </c>
      <c r="L1287" s="17">
        <v>402.5</v>
      </c>
      <c r="M1287" s="17">
        <v>26.8</v>
      </c>
      <c r="N1287" s="17">
        <f t="shared" si="60"/>
        <v>375.7</v>
      </c>
      <c r="O1287" s="17">
        <v>318.7</v>
      </c>
      <c r="P1287" s="17">
        <v>363.9</v>
      </c>
      <c r="Q1287" s="17">
        <v>228.3</v>
      </c>
      <c r="R1287" s="17">
        <f t="shared" si="61"/>
        <v>147.39999999999998</v>
      </c>
      <c r="S1287" s="17">
        <v>198.1</v>
      </c>
      <c r="T1287" s="17">
        <f t="shared" si="62"/>
        <v>120.6</v>
      </c>
    </row>
    <row r="1288" spans="1:20" x14ac:dyDescent="0.35">
      <c r="A1288" s="14" t="s">
        <v>103</v>
      </c>
      <c r="B1288" s="15" t="s">
        <v>104</v>
      </c>
      <c r="C1288" s="15" t="s">
        <v>93</v>
      </c>
      <c r="D1288" s="15" t="s">
        <v>98</v>
      </c>
      <c r="E1288" s="15" t="s">
        <v>89</v>
      </c>
      <c r="F1288" s="15" t="s">
        <v>81</v>
      </c>
      <c r="G1288" s="15" t="s">
        <v>82</v>
      </c>
      <c r="H1288" s="15" t="s">
        <v>71</v>
      </c>
      <c r="I1288" s="16">
        <v>35511</v>
      </c>
      <c r="J1288" s="16">
        <v>30555</v>
      </c>
      <c r="K1288" s="16">
        <v>34722</v>
      </c>
      <c r="L1288" s="17">
        <v>301.7</v>
      </c>
      <c r="M1288" s="17">
        <v>18.8</v>
      </c>
      <c r="N1288" s="17">
        <f t="shared" si="60"/>
        <v>282.89999999999998</v>
      </c>
      <c r="O1288" s="17">
        <v>232.2</v>
      </c>
      <c r="P1288" s="17">
        <v>275.60000000000002</v>
      </c>
      <c r="Q1288" s="17">
        <v>179</v>
      </c>
      <c r="R1288" s="17">
        <f t="shared" si="61"/>
        <v>103.89999999999998</v>
      </c>
      <c r="S1288" s="17">
        <v>149.5</v>
      </c>
      <c r="T1288" s="17">
        <f t="shared" si="62"/>
        <v>82.699999999999989</v>
      </c>
    </row>
    <row r="1289" spans="1:20" x14ac:dyDescent="0.35">
      <c r="A1289" s="14" t="s">
        <v>103</v>
      </c>
      <c r="B1289" s="15" t="s">
        <v>104</v>
      </c>
      <c r="C1289" s="15" t="s">
        <v>93</v>
      </c>
      <c r="D1289" s="15" t="s">
        <v>98</v>
      </c>
      <c r="E1289" s="15" t="s">
        <v>89</v>
      </c>
      <c r="F1289" s="15" t="s">
        <v>83</v>
      </c>
      <c r="G1289" s="15" t="s">
        <v>84</v>
      </c>
      <c r="H1289" s="15" t="s">
        <v>72</v>
      </c>
      <c r="I1289" s="16">
        <v>14382</v>
      </c>
      <c r="J1289" s="16">
        <v>11391</v>
      </c>
      <c r="K1289" s="16">
        <v>13978</v>
      </c>
      <c r="L1289" s="17">
        <v>383.2</v>
      </c>
      <c r="M1289" s="17">
        <v>29.7</v>
      </c>
      <c r="N1289" s="17">
        <f t="shared" si="60"/>
        <v>353.5</v>
      </c>
      <c r="O1289" s="17">
        <v>267.5</v>
      </c>
      <c r="P1289" s="17">
        <v>338.4</v>
      </c>
      <c r="Q1289" s="17">
        <v>200</v>
      </c>
      <c r="R1289" s="17">
        <f t="shared" si="61"/>
        <v>153.5</v>
      </c>
      <c r="S1289" s="17">
        <v>153.69999999999999</v>
      </c>
      <c r="T1289" s="17">
        <f t="shared" si="62"/>
        <v>113.80000000000001</v>
      </c>
    </row>
    <row r="1290" spans="1:20" x14ac:dyDescent="0.35">
      <c r="A1290" s="14" t="s">
        <v>103</v>
      </c>
      <c r="B1290" s="15" t="s">
        <v>104</v>
      </c>
      <c r="C1290" s="15" t="s">
        <v>93</v>
      </c>
      <c r="D1290" s="15" t="s">
        <v>98</v>
      </c>
      <c r="E1290" s="15" t="s">
        <v>90</v>
      </c>
      <c r="F1290" s="15" t="s">
        <v>67</v>
      </c>
      <c r="G1290" s="15" t="s">
        <v>68</v>
      </c>
      <c r="H1290" s="15" t="s">
        <v>69</v>
      </c>
      <c r="I1290" s="16">
        <v>162039</v>
      </c>
      <c r="J1290" s="16">
        <v>149030</v>
      </c>
      <c r="K1290" s="16">
        <v>157093</v>
      </c>
      <c r="L1290" s="17">
        <v>645</v>
      </c>
      <c r="M1290" s="17">
        <v>66</v>
      </c>
      <c r="N1290" s="17">
        <f t="shared" si="60"/>
        <v>579</v>
      </c>
      <c r="O1290" s="17">
        <v>504</v>
      </c>
      <c r="P1290" s="17">
        <v>553.70000000000005</v>
      </c>
      <c r="Q1290" s="17">
        <v>312.2</v>
      </c>
      <c r="R1290" s="17">
        <f t="shared" si="61"/>
        <v>266.8</v>
      </c>
      <c r="S1290" s="17">
        <v>274.39999999999998</v>
      </c>
      <c r="T1290" s="17">
        <f t="shared" si="62"/>
        <v>229.60000000000002</v>
      </c>
    </row>
    <row r="1291" spans="1:20" x14ac:dyDescent="0.35">
      <c r="A1291" s="14" t="s">
        <v>103</v>
      </c>
      <c r="B1291" s="15" t="s">
        <v>104</v>
      </c>
      <c r="C1291" s="15" t="s">
        <v>93</v>
      </c>
      <c r="D1291" s="15" t="s">
        <v>98</v>
      </c>
      <c r="E1291" s="15" t="s">
        <v>90</v>
      </c>
      <c r="F1291" s="15" t="s">
        <v>67</v>
      </c>
      <c r="G1291" s="15" t="s">
        <v>68</v>
      </c>
      <c r="H1291" s="15" t="s">
        <v>70</v>
      </c>
      <c r="I1291" s="16">
        <v>153802</v>
      </c>
      <c r="J1291" s="16">
        <v>140308</v>
      </c>
      <c r="K1291" s="16">
        <v>149628</v>
      </c>
      <c r="L1291" s="17">
        <v>736.8</v>
      </c>
      <c r="M1291" s="17">
        <v>75.8</v>
      </c>
      <c r="N1291" s="17">
        <f t="shared" si="60"/>
        <v>661</v>
      </c>
      <c r="O1291" s="17">
        <v>569.1</v>
      </c>
      <c r="P1291" s="17">
        <v>641.5</v>
      </c>
      <c r="Q1291" s="17">
        <v>368</v>
      </c>
      <c r="R1291" s="17">
        <f t="shared" si="61"/>
        <v>293</v>
      </c>
      <c r="S1291" s="17">
        <v>324.60000000000002</v>
      </c>
      <c r="T1291" s="17">
        <f t="shared" si="62"/>
        <v>244.5</v>
      </c>
    </row>
    <row r="1292" spans="1:20" x14ac:dyDescent="0.35">
      <c r="A1292" s="14" t="s">
        <v>103</v>
      </c>
      <c r="B1292" s="15" t="s">
        <v>104</v>
      </c>
      <c r="C1292" s="15" t="s">
        <v>93</v>
      </c>
      <c r="D1292" s="15" t="s">
        <v>98</v>
      </c>
      <c r="E1292" s="15" t="s">
        <v>90</v>
      </c>
      <c r="F1292" s="15" t="s">
        <v>67</v>
      </c>
      <c r="G1292" s="15" t="s">
        <v>68</v>
      </c>
      <c r="H1292" s="15" t="s">
        <v>71</v>
      </c>
      <c r="I1292" s="16">
        <v>214776</v>
      </c>
      <c r="J1292" s="16">
        <v>195451</v>
      </c>
      <c r="K1292" s="16">
        <v>208304</v>
      </c>
      <c r="L1292" s="17">
        <v>1310.5999999999999</v>
      </c>
      <c r="M1292" s="17">
        <v>143.5</v>
      </c>
      <c r="N1292" s="17">
        <f t="shared" si="60"/>
        <v>1167.0999999999999</v>
      </c>
      <c r="O1292" s="17">
        <v>1013.7</v>
      </c>
      <c r="P1292" s="17">
        <v>1135.3</v>
      </c>
      <c r="Q1292" s="17">
        <v>707.4</v>
      </c>
      <c r="R1292" s="17">
        <f t="shared" si="61"/>
        <v>459.69999999999993</v>
      </c>
      <c r="S1292" s="17">
        <v>619.29999999999995</v>
      </c>
      <c r="T1292" s="17">
        <f t="shared" si="62"/>
        <v>394.40000000000009</v>
      </c>
    </row>
    <row r="1293" spans="1:20" x14ac:dyDescent="0.35">
      <c r="A1293" s="14" t="s">
        <v>103</v>
      </c>
      <c r="B1293" s="15" t="s">
        <v>104</v>
      </c>
      <c r="C1293" s="15" t="s">
        <v>93</v>
      </c>
      <c r="D1293" s="15" t="s">
        <v>98</v>
      </c>
      <c r="E1293" s="15" t="s">
        <v>90</v>
      </c>
      <c r="F1293" s="15" t="s">
        <v>67</v>
      </c>
      <c r="G1293" s="15" t="s">
        <v>68</v>
      </c>
      <c r="H1293" s="15" t="s">
        <v>72</v>
      </c>
      <c r="I1293" s="16">
        <v>58784</v>
      </c>
      <c r="J1293" s="16">
        <v>52621</v>
      </c>
      <c r="K1293" s="16">
        <v>57294</v>
      </c>
      <c r="L1293" s="17">
        <v>464.3</v>
      </c>
      <c r="M1293" s="17">
        <v>53.4</v>
      </c>
      <c r="N1293" s="17">
        <f t="shared" si="60"/>
        <v>410.90000000000003</v>
      </c>
      <c r="O1293" s="17">
        <v>351.5</v>
      </c>
      <c r="P1293" s="17">
        <v>398.6</v>
      </c>
      <c r="Q1293" s="17">
        <v>263.5</v>
      </c>
      <c r="R1293" s="17">
        <f t="shared" si="61"/>
        <v>147.40000000000003</v>
      </c>
      <c r="S1293" s="17">
        <v>229.2</v>
      </c>
      <c r="T1293" s="17">
        <f t="shared" si="62"/>
        <v>122.30000000000001</v>
      </c>
    </row>
    <row r="1294" spans="1:20" x14ac:dyDescent="0.35">
      <c r="A1294" s="14" t="s">
        <v>103</v>
      </c>
      <c r="B1294" s="15" t="s">
        <v>104</v>
      </c>
      <c r="C1294" s="15" t="s">
        <v>93</v>
      </c>
      <c r="D1294" s="15" t="s">
        <v>98</v>
      </c>
      <c r="E1294" s="15" t="s">
        <v>90</v>
      </c>
      <c r="F1294" s="15" t="s">
        <v>67</v>
      </c>
      <c r="G1294" s="15" t="s">
        <v>73</v>
      </c>
      <c r="H1294" s="15" t="s">
        <v>71</v>
      </c>
      <c r="I1294" s="16">
        <v>49882</v>
      </c>
      <c r="J1294" s="16">
        <v>41469</v>
      </c>
      <c r="K1294" s="16">
        <v>48422</v>
      </c>
      <c r="L1294" s="17">
        <v>297.7</v>
      </c>
      <c r="M1294" s="17">
        <v>33.4</v>
      </c>
      <c r="N1294" s="17">
        <f t="shared" si="60"/>
        <v>264.3</v>
      </c>
      <c r="O1294" s="17">
        <v>209.7</v>
      </c>
      <c r="P1294" s="17">
        <v>256.10000000000002</v>
      </c>
      <c r="Q1294" s="17">
        <v>163.4</v>
      </c>
      <c r="R1294" s="17">
        <f t="shared" si="61"/>
        <v>100.9</v>
      </c>
      <c r="S1294" s="17">
        <v>132.6</v>
      </c>
      <c r="T1294" s="17">
        <f t="shared" si="62"/>
        <v>77.099999999999994</v>
      </c>
    </row>
    <row r="1295" spans="1:20" x14ac:dyDescent="0.35">
      <c r="A1295" s="14" t="s">
        <v>103</v>
      </c>
      <c r="B1295" s="15" t="s">
        <v>104</v>
      </c>
      <c r="C1295" s="15" t="s">
        <v>93</v>
      </c>
      <c r="D1295" s="15" t="s">
        <v>98</v>
      </c>
      <c r="E1295" s="15" t="s">
        <v>90</v>
      </c>
      <c r="F1295" s="15" t="s">
        <v>67</v>
      </c>
      <c r="G1295" s="15" t="s">
        <v>73</v>
      </c>
      <c r="H1295" s="15" t="s">
        <v>72</v>
      </c>
      <c r="I1295" s="16">
        <v>19626</v>
      </c>
      <c r="J1295" s="16">
        <v>16141</v>
      </c>
      <c r="K1295" s="16">
        <v>19048</v>
      </c>
      <c r="L1295" s="17">
        <v>162.9</v>
      </c>
      <c r="M1295" s="17">
        <v>17.8</v>
      </c>
      <c r="N1295" s="17">
        <f t="shared" si="60"/>
        <v>145.1</v>
      </c>
      <c r="O1295" s="17">
        <v>113.5</v>
      </c>
      <c r="P1295" s="17">
        <v>140.4</v>
      </c>
      <c r="Q1295" s="17">
        <v>92.9</v>
      </c>
      <c r="R1295" s="17">
        <f t="shared" si="61"/>
        <v>52.199999999999989</v>
      </c>
      <c r="S1295" s="17">
        <v>73.7</v>
      </c>
      <c r="T1295" s="17">
        <f t="shared" si="62"/>
        <v>39.799999999999997</v>
      </c>
    </row>
    <row r="1296" spans="1:20" x14ac:dyDescent="0.35">
      <c r="A1296" s="14" t="s">
        <v>103</v>
      </c>
      <c r="B1296" s="15" t="s">
        <v>104</v>
      </c>
      <c r="C1296" s="15" t="s">
        <v>93</v>
      </c>
      <c r="D1296" s="15" t="s">
        <v>98</v>
      </c>
      <c r="E1296" s="15" t="s">
        <v>90</v>
      </c>
      <c r="F1296" s="15" t="s">
        <v>67</v>
      </c>
      <c r="G1296" s="15" t="s">
        <v>74</v>
      </c>
      <c r="H1296" s="15" t="s">
        <v>70</v>
      </c>
      <c r="I1296" s="16">
        <v>58373</v>
      </c>
      <c r="J1296" s="16">
        <v>52657</v>
      </c>
      <c r="K1296" s="16">
        <v>56944</v>
      </c>
      <c r="L1296" s="17">
        <v>271.8</v>
      </c>
      <c r="M1296" s="17">
        <v>29.7</v>
      </c>
      <c r="N1296" s="17">
        <f t="shared" si="60"/>
        <v>242.10000000000002</v>
      </c>
      <c r="O1296" s="17">
        <v>209</v>
      </c>
      <c r="P1296" s="17">
        <v>231.6</v>
      </c>
      <c r="Q1296" s="17">
        <v>134.4</v>
      </c>
      <c r="R1296" s="17">
        <f t="shared" si="61"/>
        <v>107.70000000000002</v>
      </c>
      <c r="S1296" s="17">
        <v>117.5</v>
      </c>
      <c r="T1296" s="17">
        <f t="shared" si="62"/>
        <v>91.5</v>
      </c>
    </row>
    <row r="1297" spans="1:20" x14ac:dyDescent="0.35">
      <c r="A1297" s="14" t="s">
        <v>103</v>
      </c>
      <c r="B1297" s="15" t="s">
        <v>104</v>
      </c>
      <c r="C1297" s="15" t="s">
        <v>93</v>
      </c>
      <c r="D1297" s="15" t="s">
        <v>98</v>
      </c>
      <c r="E1297" s="15" t="s">
        <v>90</v>
      </c>
      <c r="F1297" s="15" t="s">
        <v>67</v>
      </c>
      <c r="G1297" s="15" t="s">
        <v>74</v>
      </c>
      <c r="H1297" s="15" t="s">
        <v>71</v>
      </c>
      <c r="I1297" s="16">
        <v>82590</v>
      </c>
      <c r="J1297" s="16">
        <v>74128</v>
      </c>
      <c r="K1297" s="16">
        <v>79812</v>
      </c>
      <c r="L1297" s="17">
        <v>483.2</v>
      </c>
      <c r="M1297" s="17">
        <v>48.7</v>
      </c>
      <c r="N1297" s="17">
        <f t="shared" si="60"/>
        <v>434.5</v>
      </c>
      <c r="O1297" s="17">
        <v>369.9</v>
      </c>
      <c r="P1297" s="17">
        <v>422.7</v>
      </c>
      <c r="Q1297" s="17">
        <v>264.2</v>
      </c>
      <c r="R1297" s="17">
        <f t="shared" si="61"/>
        <v>170.3</v>
      </c>
      <c r="S1297" s="17">
        <v>230.4</v>
      </c>
      <c r="T1297" s="17">
        <f t="shared" si="62"/>
        <v>139.49999999999997</v>
      </c>
    </row>
    <row r="1298" spans="1:20" x14ac:dyDescent="0.35">
      <c r="A1298" s="14" t="s">
        <v>103</v>
      </c>
      <c r="B1298" s="15" t="s">
        <v>104</v>
      </c>
      <c r="C1298" s="15" t="s">
        <v>93</v>
      </c>
      <c r="D1298" s="15" t="s">
        <v>98</v>
      </c>
      <c r="E1298" s="15" t="s">
        <v>90</v>
      </c>
      <c r="F1298" s="15" t="s">
        <v>67</v>
      </c>
      <c r="G1298" s="15" t="s">
        <v>75</v>
      </c>
      <c r="H1298" s="15" t="s">
        <v>71</v>
      </c>
      <c r="I1298" s="16">
        <v>63553</v>
      </c>
      <c r="J1298" s="16">
        <v>58067</v>
      </c>
      <c r="K1298" s="16">
        <v>61390</v>
      </c>
      <c r="L1298" s="17">
        <v>361.7</v>
      </c>
      <c r="M1298" s="17">
        <v>36.6</v>
      </c>
      <c r="N1298" s="17">
        <f t="shared" si="60"/>
        <v>325.09999999999997</v>
      </c>
      <c r="O1298" s="17">
        <v>282.7</v>
      </c>
      <c r="P1298" s="17">
        <v>311.89999999999998</v>
      </c>
      <c r="Q1298" s="17">
        <v>197.6</v>
      </c>
      <c r="R1298" s="17">
        <f t="shared" si="61"/>
        <v>127.49999999999997</v>
      </c>
      <c r="S1298" s="17">
        <v>173.9</v>
      </c>
      <c r="T1298" s="17">
        <f t="shared" si="62"/>
        <v>108.79999999999998</v>
      </c>
    </row>
    <row r="1299" spans="1:20" x14ac:dyDescent="0.35">
      <c r="A1299" s="14" t="s">
        <v>103</v>
      </c>
      <c r="B1299" s="15" t="s">
        <v>104</v>
      </c>
      <c r="C1299" s="15" t="s">
        <v>93</v>
      </c>
      <c r="D1299" s="15" t="s">
        <v>98</v>
      </c>
      <c r="E1299" s="15" t="s">
        <v>90</v>
      </c>
      <c r="F1299" s="15" t="s">
        <v>67</v>
      </c>
      <c r="G1299" s="15" t="s">
        <v>76</v>
      </c>
      <c r="H1299" s="15" t="s">
        <v>72</v>
      </c>
      <c r="I1299" s="16">
        <v>14133</v>
      </c>
      <c r="J1299" s="16">
        <v>12637</v>
      </c>
      <c r="K1299" s="16">
        <v>13799</v>
      </c>
      <c r="L1299" s="17">
        <v>137.80000000000001</v>
      </c>
      <c r="M1299" s="17">
        <v>15.3</v>
      </c>
      <c r="N1299" s="17">
        <f t="shared" si="60"/>
        <v>122.50000000000001</v>
      </c>
      <c r="O1299" s="17">
        <v>104.7</v>
      </c>
      <c r="P1299" s="17">
        <v>117.2</v>
      </c>
      <c r="Q1299" s="17">
        <v>74.5</v>
      </c>
      <c r="R1299" s="17">
        <f t="shared" si="61"/>
        <v>48.000000000000014</v>
      </c>
      <c r="S1299" s="17">
        <v>65.2</v>
      </c>
      <c r="T1299" s="17">
        <f t="shared" si="62"/>
        <v>39.5</v>
      </c>
    </row>
    <row r="1300" spans="1:20" x14ac:dyDescent="0.35">
      <c r="A1300" s="14" t="s">
        <v>103</v>
      </c>
      <c r="B1300" s="15" t="s">
        <v>104</v>
      </c>
      <c r="C1300" s="15" t="s">
        <v>93</v>
      </c>
      <c r="D1300" s="15" t="s">
        <v>98</v>
      </c>
      <c r="E1300" s="15" t="s">
        <v>90</v>
      </c>
      <c r="F1300" s="15" t="s">
        <v>79</v>
      </c>
      <c r="G1300" s="15" t="s">
        <v>95</v>
      </c>
      <c r="H1300" s="15" t="s">
        <v>71</v>
      </c>
      <c r="I1300" s="16">
        <v>61510</v>
      </c>
      <c r="J1300" s="16">
        <v>54704</v>
      </c>
      <c r="K1300" s="16">
        <v>60043</v>
      </c>
      <c r="L1300" s="17">
        <v>211.9</v>
      </c>
      <c r="M1300" s="17">
        <v>21.3</v>
      </c>
      <c r="N1300" s="17">
        <f t="shared" si="60"/>
        <v>190.6</v>
      </c>
      <c r="O1300" s="17">
        <v>161</v>
      </c>
      <c r="P1300" s="17">
        <v>184.1</v>
      </c>
      <c r="Q1300" s="17">
        <v>116.1</v>
      </c>
      <c r="R1300" s="17">
        <f t="shared" si="61"/>
        <v>74.5</v>
      </c>
      <c r="S1300" s="17">
        <v>99.7</v>
      </c>
      <c r="T1300" s="17">
        <f t="shared" si="62"/>
        <v>61.3</v>
      </c>
    </row>
    <row r="1301" spans="1:20" x14ac:dyDescent="0.35">
      <c r="A1301" s="14" t="s">
        <v>103</v>
      </c>
      <c r="B1301" s="15" t="s">
        <v>104</v>
      </c>
      <c r="C1301" s="15" t="s">
        <v>93</v>
      </c>
      <c r="D1301" s="15" t="s">
        <v>98</v>
      </c>
      <c r="E1301" s="15" t="s">
        <v>90</v>
      </c>
      <c r="F1301" s="15" t="s">
        <v>81</v>
      </c>
      <c r="G1301" s="15" t="s">
        <v>82</v>
      </c>
      <c r="H1301" s="15" t="s">
        <v>71</v>
      </c>
      <c r="I1301" s="16">
        <v>22233</v>
      </c>
      <c r="J1301" s="16">
        <v>19705</v>
      </c>
      <c r="K1301" s="16">
        <v>21591</v>
      </c>
      <c r="L1301" s="17">
        <v>170.1</v>
      </c>
      <c r="M1301" s="17">
        <v>18.7</v>
      </c>
      <c r="N1301" s="17">
        <f t="shared" si="60"/>
        <v>151.4</v>
      </c>
      <c r="O1301" s="17">
        <v>128</v>
      </c>
      <c r="P1301" s="17">
        <v>145.69999999999999</v>
      </c>
      <c r="Q1301" s="17">
        <v>95.3</v>
      </c>
      <c r="R1301" s="17">
        <f t="shared" si="61"/>
        <v>56.100000000000009</v>
      </c>
      <c r="S1301" s="17">
        <v>81.8</v>
      </c>
      <c r="T1301" s="17">
        <f t="shared" si="62"/>
        <v>46.2</v>
      </c>
    </row>
    <row r="1302" spans="1:20" x14ac:dyDescent="0.35">
      <c r="A1302" s="14" t="s">
        <v>103</v>
      </c>
      <c r="B1302" s="15" t="s">
        <v>104</v>
      </c>
      <c r="C1302" s="15" t="s">
        <v>93</v>
      </c>
      <c r="D1302" s="15" t="s">
        <v>98</v>
      </c>
      <c r="E1302" s="15" t="s">
        <v>90</v>
      </c>
      <c r="F1302" s="15" t="s">
        <v>83</v>
      </c>
      <c r="G1302" s="15" t="s">
        <v>84</v>
      </c>
      <c r="H1302" s="15" t="s">
        <v>72</v>
      </c>
      <c r="I1302" s="16">
        <v>10430</v>
      </c>
      <c r="J1302" s="16">
        <v>8194</v>
      </c>
      <c r="K1302" s="16">
        <v>10221</v>
      </c>
      <c r="L1302" s="17">
        <v>245.9</v>
      </c>
      <c r="M1302" s="17">
        <v>26.8</v>
      </c>
      <c r="N1302" s="17">
        <f t="shared" si="60"/>
        <v>219.1</v>
      </c>
      <c r="O1302" s="17">
        <v>165</v>
      </c>
      <c r="P1302" s="17">
        <v>209.9</v>
      </c>
      <c r="Q1302" s="17">
        <v>125.8</v>
      </c>
      <c r="R1302" s="17">
        <f t="shared" si="61"/>
        <v>93.3</v>
      </c>
      <c r="S1302" s="17">
        <v>96.4</v>
      </c>
      <c r="T1302" s="17">
        <f t="shared" si="62"/>
        <v>68.599999999999994</v>
      </c>
    </row>
    <row r="1303" spans="1:20" x14ac:dyDescent="0.35">
      <c r="A1303" s="14" t="s">
        <v>103</v>
      </c>
      <c r="B1303" s="15" t="s">
        <v>104</v>
      </c>
      <c r="C1303" s="15" t="s">
        <v>93</v>
      </c>
      <c r="D1303" s="15" t="s">
        <v>98</v>
      </c>
      <c r="E1303" s="15" t="s">
        <v>91</v>
      </c>
      <c r="F1303" s="15" t="s">
        <v>67</v>
      </c>
      <c r="G1303" s="15" t="s">
        <v>68</v>
      </c>
      <c r="H1303" s="15" t="s">
        <v>69</v>
      </c>
      <c r="I1303" s="16">
        <v>123689</v>
      </c>
      <c r="J1303" s="16">
        <v>110283</v>
      </c>
      <c r="K1303" s="16">
        <v>120062</v>
      </c>
      <c r="L1303" s="17">
        <v>588.9</v>
      </c>
      <c r="M1303" s="17">
        <v>29.9</v>
      </c>
      <c r="N1303" s="17">
        <f t="shared" si="60"/>
        <v>559</v>
      </c>
      <c r="O1303" s="17">
        <v>472.6</v>
      </c>
      <c r="P1303" s="17">
        <v>541.20000000000005</v>
      </c>
      <c r="Q1303" s="17">
        <v>310.60000000000002</v>
      </c>
      <c r="R1303" s="17">
        <f t="shared" si="61"/>
        <v>248.39999999999998</v>
      </c>
      <c r="S1303" s="17">
        <v>269.39999999999998</v>
      </c>
      <c r="T1303" s="17">
        <f t="shared" si="62"/>
        <v>203.20000000000005</v>
      </c>
    </row>
    <row r="1304" spans="1:20" x14ac:dyDescent="0.35">
      <c r="A1304" s="14" t="s">
        <v>103</v>
      </c>
      <c r="B1304" s="15" t="s">
        <v>104</v>
      </c>
      <c r="C1304" s="15" t="s">
        <v>93</v>
      </c>
      <c r="D1304" s="15" t="s">
        <v>98</v>
      </c>
      <c r="E1304" s="15" t="s">
        <v>91</v>
      </c>
      <c r="F1304" s="15" t="s">
        <v>67</v>
      </c>
      <c r="G1304" s="15" t="s">
        <v>68</v>
      </c>
      <c r="H1304" s="15" t="s">
        <v>70</v>
      </c>
      <c r="I1304" s="16">
        <v>36233</v>
      </c>
      <c r="J1304" s="16">
        <v>31704</v>
      </c>
      <c r="K1304" s="16">
        <v>35439</v>
      </c>
      <c r="L1304" s="17">
        <v>195.5</v>
      </c>
      <c r="M1304" s="17">
        <v>8</v>
      </c>
      <c r="N1304" s="17">
        <f t="shared" si="60"/>
        <v>187.5</v>
      </c>
      <c r="O1304" s="17">
        <v>154.9</v>
      </c>
      <c r="P1304" s="17">
        <v>181.3</v>
      </c>
      <c r="Q1304" s="17">
        <v>105.7</v>
      </c>
      <c r="R1304" s="17">
        <f t="shared" si="61"/>
        <v>81.8</v>
      </c>
      <c r="S1304" s="17">
        <v>89</v>
      </c>
      <c r="T1304" s="17">
        <f t="shared" si="62"/>
        <v>65.900000000000006</v>
      </c>
    </row>
    <row r="1305" spans="1:20" x14ac:dyDescent="0.35">
      <c r="A1305" s="14" t="s">
        <v>103</v>
      </c>
      <c r="B1305" s="15" t="s">
        <v>104</v>
      </c>
      <c r="C1305" s="15" t="s">
        <v>93</v>
      </c>
      <c r="D1305" s="15" t="s">
        <v>98</v>
      </c>
      <c r="E1305" s="15" t="s">
        <v>91</v>
      </c>
      <c r="F1305" s="15" t="s">
        <v>67</v>
      </c>
      <c r="G1305" s="15" t="s">
        <v>68</v>
      </c>
      <c r="H1305" s="15" t="s">
        <v>71</v>
      </c>
      <c r="I1305" s="16">
        <v>62294</v>
      </c>
      <c r="J1305" s="16">
        <v>55094</v>
      </c>
      <c r="K1305" s="16">
        <v>60628</v>
      </c>
      <c r="L1305" s="17">
        <v>442.4</v>
      </c>
      <c r="M1305" s="17">
        <v>20.5</v>
      </c>
      <c r="N1305" s="17">
        <f t="shared" si="60"/>
        <v>421.9</v>
      </c>
      <c r="O1305" s="17">
        <v>353.6</v>
      </c>
      <c r="P1305" s="17">
        <v>405.1</v>
      </c>
      <c r="Q1305" s="17">
        <v>264.10000000000002</v>
      </c>
      <c r="R1305" s="17">
        <f t="shared" si="61"/>
        <v>157.79999999999995</v>
      </c>
      <c r="S1305" s="17">
        <v>226</v>
      </c>
      <c r="T1305" s="17">
        <f t="shared" si="62"/>
        <v>127.60000000000002</v>
      </c>
    </row>
    <row r="1306" spans="1:20" x14ac:dyDescent="0.35">
      <c r="A1306" s="14" t="s">
        <v>103</v>
      </c>
      <c r="B1306" s="15" t="s">
        <v>104</v>
      </c>
      <c r="C1306" s="15" t="s">
        <v>93</v>
      </c>
      <c r="D1306" s="15" t="s">
        <v>98</v>
      </c>
      <c r="E1306" s="15" t="s">
        <v>91</v>
      </c>
      <c r="F1306" s="15" t="s">
        <v>67</v>
      </c>
      <c r="G1306" s="15" t="s">
        <v>68</v>
      </c>
      <c r="H1306" s="15" t="s">
        <v>72</v>
      </c>
      <c r="I1306" s="16">
        <v>30365</v>
      </c>
      <c r="J1306" s="16">
        <v>26429</v>
      </c>
      <c r="K1306" s="16">
        <v>29376</v>
      </c>
      <c r="L1306" s="17">
        <v>285.3</v>
      </c>
      <c r="M1306" s="17">
        <v>14.6</v>
      </c>
      <c r="N1306" s="17">
        <f t="shared" si="60"/>
        <v>270.7</v>
      </c>
      <c r="O1306" s="17">
        <v>224.6</v>
      </c>
      <c r="P1306" s="17">
        <v>262.8</v>
      </c>
      <c r="Q1306" s="17">
        <v>174.6</v>
      </c>
      <c r="R1306" s="17">
        <f t="shared" si="61"/>
        <v>96.1</v>
      </c>
      <c r="S1306" s="17">
        <v>147.1</v>
      </c>
      <c r="T1306" s="17">
        <f t="shared" si="62"/>
        <v>77.5</v>
      </c>
    </row>
    <row r="1307" spans="1:20" x14ac:dyDescent="0.35">
      <c r="A1307" s="14" t="s">
        <v>103</v>
      </c>
      <c r="B1307" s="15" t="s">
        <v>104</v>
      </c>
      <c r="C1307" s="15" t="s">
        <v>93</v>
      </c>
      <c r="D1307" s="15" t="s">
        <v>98</v>
      </c>
      <c r="E1307" s="15" t="s">
        <v>91</v>
      </c>
      <c r="F1307" s="15" t="s">
        <v>67</v>
      </c>
      <c r="G1307" s="15" t="s">
        <v>73</v>
      </c>
      <c r="H1307" s="15" t="s">
        <v>71</v>
      </c>
      <c r="I1307" s="16">
        <v>14852</v>
      </c>
      <c r="J1307" s="16">
        <v>12073</v>
      </c>
      <c r="K1307" s="16">
        <v>14429</v>
      </c>
      <c r="L1307" s="17">
        <v>105.3</v>
      </c>
      <c r="M1307" s="17">
        <v>4.3</v>
      </c>
      <c r="N1307" s="17">
        <f t="shared" si="60"/>
        <v>101</v>
      </c>
      <c r="O1307" s="17">
        <v>78</v>
      </c>
      <c r="P1307" s="17">
        <v>97.5</v>
      </c>
      <c r="Q1307" s="17">
        <v>61.6</v>
      </c>
      <c r="R1307" s="17">
        <f t="shared" si="61"/>
        <v>39.4</v>
      </c>
      <c r="S1307" s="17">
        <v>48.7</v>
      </c>
      <c r="T1307" s="17">
        <f t="shared" si="62"/>
        <v>29.299999999999997</v>
      </c>
    </row>
    <row r="1308" spans="1:20" x14ac:dyDescent="0.35">
      <c r="A1308" s="14" t="s">
        <v>103</v>
      </c>
      <c r="B1308" s="15" t="s">
        <v>104</v>
      </c>
      <c r="C1308" s="15" t="s">
        <v>93</v>
      </c>
      <c r="D1308" s="15" t="s">
        <v>98</v>
      </c>
      <c r="E1308" s="15" t="s">
        <v>91</v>
      </c>
      <c r="F1308" s="15" t="s">
        <v>67</v>
      </c>
      <c r="G1308" s="15" t="s">
        <v>73</v>
      </c>
      <c r="H1308" s="15" t="s">
        <v>72</v>
      </c>
      <c r="I1308" s="16">
        <v>10370</v>
      </c>
      <c r="J1308" s="16">
        <v>8354</v>
      </c>
      <c r="K1308" s="16">
        <v>10020</v>
      </c>
      <c r="L1308" s="17">
        <v>99.4</v>
      </c>
      <c r="M1308" s="17">
        <v>4.2</v>
      </c>
      <c r="N1308" s="17">
        <f t="shared" si="60"/>
        <v>95.2</v>
      </c>
      <c r="O1308" s="17">
        <v>72.7</v>
      </c>
      <c r="P1308" s="17">
        <v>91.1</v>
      </c>
      <c r="Q1308" s="17">
        <v>61.5</v>
      </c>
      <c r="R1308" s="17">
        <f t="shared" si="61"/>
        <v>33.700000000000003</v>
      </c>
      <c r="S1308" s="17">
        <v>47.3</v>
      </c>
      <c r="T1308" s="17">
        <f t="shared" si="62"/>
        <v>25.400000000000006</v>
      </c>
    </row>
    <row r="1309" spans="1:20" x14ac:dyDescent="0.35">
      <c r="A1309" s="14" t="s">
        <v>103</v>
      </c>
      <c r="B1309" s="15" t="s">
        <v>104</v>
      </c>
      <c r="C1309" s="15" t="s">
        <v>93</v>
      </c>
      <c r="D1309" s="15" t="s">
        <v>98</v>
      </c>
      <c r="E1309" s="15" t="s">
        <v>91</v>
      </c>
      <c r="F1309" s="15" t="s">
        <v>67</v>
      </c>
      <c r="G1309" s="15" t="s">
        <v>74</v>
      </c>
      <c r="H1309" s="15" t="s">
        <v>70</v>
      </c>
      <c r="I1309" s="16">
        <v>16271</v>
      </c>
      <c r="J1309" s="16">
        <v>14005</v>
      </c>
      <c r="K1309" s="16">
        <v>15890</v>
      </c>
      <c r="L1309" s="17">
        <v>90.7</v>
      </c>
      <c r="M1309" s="17">
        <v>5</v>
      </c>
      <c r="N1309" s="17">
        <f t="shared" si="60"/>
        <v>85.7</v>
      </c>
      <c r="O1309" s="17">
        <v>70.599999999999994</v>
      </c>
      <c r="P1309" s="17">
        <v>83</v>
      </c>
      <c r="Q1309" s="17">
        <v>49.5</v>
      </c>
      <c r="R1309" s="17">
        <f t="shared" si="61"/>
        <v>36.200000000000003</v>
      </c>
      <c r="S1309" s="17">
        <v>41.6</v>
      </c>
      <c r="T1309" s="17">
        <f t="shared" si="62"/>
        <v>28.999999999999993</v>
      </c>
    </row>
    <row r="1310" spans="1:20" x14ac:dyDescent="0.35">
      <c r="A1310" s="14" t="s">
        <v>103</v>
      </c>
      <c r="B1310" s="15" t="s">
        <v>104</v>
      </c>
      <c r="C1310" s="15" t="s">
        <v>93</v>
      </c>
      <c r="D1310" s="15" t="s">
        <v>98</v>
      </c>
      <c r="E1310" s="15" t="s">
        <v>91</v>
      </c>
      <c r="F1310" s="15" t="s">
        <v>67</v>
      </c>
      <c r="G1310" s="15" t="s">
        <v>74</v>
      </c>
      <c r="H1310" s="15" t="s">
        <v>71</v>
      </c>
      <c r="I1310" s="16">
        <v>26880</v>
      </c>
      <c r="J1310" s="16">
        <v>23536</v>
      </c>
      <c r="K1310" s="16">
        <v>26245</v>
      </c>
      <c r="L1310" s="17">
        <v>185.5</v>
      </c>
      <c r="M1310" s="17">
        <v>8.1</v>
      </c>
      <c r="N1310" s="17">
        <f t="shared" si="60"/>
        <v>177.4</v>
      </c>
      <c r="O1310" s="17">
        <v>149</v>
      </c>
      <c r="P1310" s="17">
        <v>172.2</v>
      </c>
      <c r="Q1310" s="17">
        <v>110.4</v>
      </c>
      <c r="R1310" s="17">
        <f t="shared" si="61"/>
        <v>67</v>
      </c>
      <c r="S1310" s="17">
        <v>94.7</v>
      </c>
      <c r="T1310" s="17">
        <f t="shared" si="62"/>
        <v>54.3</v>
      </c>
    </row>
    <row r="1311" spans="1:20" x14ac:dyDescent="0.35">
      <c r="A1311" s="14" t="s">
        <v>103</v>
      </c>
      <c r="B1311" s="15" t="s">
        <v>104</v>
      </c>
      <c r="C1311" s="15" t="s">
        <v>93</v>
      </c>
      <c r="D1311" s="15" t="s">
        <v>98</v>
      </c>
      <c r="E1311" s="15" t="s">
        <v>91</v>
      </c>
      <c r="F1311" s="15" t="s">
        <v>67</v>
      </c>
      <c r="G1311" s="15" t="s">
        <v>75</v>
      </c>
      <c r="H1311" s="15" t="s">
        <v>71</v>
      </c>
      <c r="I1311" s="16">
        <v>21114</v>
      </c>
      <c r="J1311" s="16">
        <v>18308</v>
      </c>
      <c r="K1311" s="16">
        <v>20383</v>
      </c>
      <c r="L1311" s="17">
        <v>142.6</v>
      </c>
      <c r="M1311" s="17">
        <v>5.8</v>
      </c>
      <c r="N1311" s="17">
        <f t="shared" si="60"/>
        <v>136.79999999999998</v>
      </c>
      <c r="O1311" s="17">
        <v>113.9</v>
      </c>
      <c r="P1311" s="17">
        <v>131.6</v>
      </c>
      <c r="Q1311" s="17">
        <v>85.1</v>
      </c>
      <c r="R1311" s="17">
        <f t="shared" si="61"/>
        <v>51.699999999999989</v>
      </c>
      <c r="S1311" s="17">
        <v>71.7</v>
      </c>
      <c r="T1311" s="17">
        <f t="shared" si="62"/>
        <v>42.2</v>
      </c>
    </row>
    <row r="1312" spans="1:20" x14ac:dyDescent="0.35">
      <c r="A1312" s="14" t="s">
        <v>103</v>
      </c>
      <c r="B1312" s="15" t="s">
        <v>104</v>
      </c>
      <c r="C1312" s="15" t="s">
        <v>93</v>
      </c>
      <c r="D1312" s="15" t="s">
        <v>98</v>
      </c>
      <c r="E1312" s="15" t="s">
        <v>91</v>
      </c>
      <c r="F1312" s="15" t="s">
        <v>67</v>
      </c>
      <c r="G1312" s="15" t="s">
        <v>76</v>
      </c>
      <c r="H1312" s="15" t="s">
        <v>72</v>
      </c>
      <c r="I1312" s="16">
        <v>23028</v>
      </c>
      <c r="J1312" s="16">
        <v>19758</v>
      </c>
      <c r="K1312" s="16">
        <v>22240</v>
      </c>
      <c r="L1312" s="17">
        <v>270.3</v>
      </c>
      <c r="M1312" s="17">
        <v>14.4</v>
      </c>
      <c r="N1312" s="17">
        <f t="shared" si="60"/>
        <v>255.9</v>
      </c>
      <c r="O1312" s="17">
        <v>211.1</v>
      </c>
      <c r="P1312" s="17">
        <v>249.3</v>
      </c>
      <c r="Q1312" s="17">
        <v>156.5</v>
      </c>
      <c r="R1312" s="17">
        <f t="shared" si="61"/>
        <v>99.4</v>
      </c>
      <c r="S1312" s="17">
        <v>131</v>
      </c>
      <c r="T1312" s="17">
        <f t="shared" si="62"/>
        <v>80.099999999999994</v>
      </c>
    </row>
    <row r="1313" spans="1:20" x14ac:dyDescent="0.35">
      <c r="A1313" s="14" t="s">
        <v>103</v>
      </c>
      <c r="B1313" s="15" t="s">
        <v>104</v>
      </c>
      <c r="C1313" s="15" t="s">
        <v>93</v>
      </c>
      <c r="D1313" s="15" t="s">
        <v>98</v>
      </c>
      <c r="E1313" s="15" t="s">
        <v>91</v>
      </c>
      <c r="F1313" s="15" t="s">
        <v>79</v>
      </c>
      <c r="G1313" s="15" t="s">
        <v>95</v>
      </c>
      <c r="H1313" s="15" t="s">
        <v>71</v>
      </c>
      <c r="I1313" s="16">
        <v>18738</v>
      </c>
      <c r="J1313" s="16">
        <v>16083</v>
      </c>
      <c r="K1313" s="16">
        <v>18191</v>
      </c>
      <c r="L1313" s="17">
        <v>77.099999999999994</v>
      </c>
      <c r="M1313" s="17">
        <v>3.3</v>
      </c>
      <c r="N1313" s="17">
        <f t="shared" si="60"/>
        <v>73.8</v>
      </c>
      <c r="O1313" s="17">
        <v>60.4</v>
      </c>
      <c r="P1313" s="17">
        <v>71.8</v>
      </c>
      <c r="Q1313" s="17">
        <v>44.3</v>
      </c>
      <c r="R1313" s="17">
        <f t="shared" si="61"/>
        <v>29.5</v>
      </c>
      <c r="S1313" s="17">
        <v>37</v>
      </c>
      <c r="T1313" s="17">
        <f t="shared" si="62"/>
        <v>23.4</v>
      </c>
    </row>
    <row r="1314" spans="1:20" x14ac:dyDescent="0.35">
      <c r="A1314" s="14" t="s">
        <v>103</v>
      </c>
      <c r="B1314" s="15" t="s">
        <v>104</v>
      </c>
      <c r="C1314" s="15" t="s">
        <v>93</v>
      </c>
      <c r="D1314" s="15" t="s">
        <v>98</v>
      </c>
      <c r="E1314" s="15" t="s">
        <v>91</v>
      </c>
      <c r="F1314" s="15" t="s">
        <v>81</v>
      </c>
      <c r="G1314" s="15" t="s">
        <v>82</v>
      </c>
      <c r="H1314" s="15" t="s">
        <v>71</v>
      </c>
      <c r="I1314" s="16">
        <v>6666</v>
      </c>
      <c r="J1314" s="16">
        <v>5594</v>
      </c>
      <c r="K1314" s="16">
        <v>6445</v>
      </c>
      <c r="L1314" s="17">
        <v>62.5</v>
      </c>
      <c r="M1314" s="17">
        <v>3.6</v>
      </c>
      <c r="N1314" s="17">
        <f t="shared" si="60"/>
        <v>58.9</v>
      </c>
      <c r="O1314" s="17">
        <v>47.4</v>
      </c>
      <c r="P1314" s="17">
        <v>56.9</v>
      </c>
      <c r="Q1314" s="17">
        <v>36.1</v>
      </c>
      <c r="R1314" s="17">
        <f t="shared" si="61"/>
        <v>22.799999999999997</v>
      </c>
      <c r="S1314" s="17">
        <v>29.6</v>
      </c>
      <c r="T1314" s="17">
        <f t="shared" si="62"/>
        <v>17.799999999999997</v>
      </c>
    </row>
    <row r="1315" spans="1:20" x14ac:dyDescent="0.35">
      <c r="A1315" s="14" t="s">
        <v>103</v>
      </c>
      <c r="B1315" s="15" t="s">
        <v>104</v>
      </c>
      <c r="C1315" s="15" t="s">
        <v>93</v>
      </c>
      <c r="D1315" s="15" t="s">
        <v>98</v>
      </c>
      <c r="E1315" s="15" t="s">
        <v>91</v>
      </c>
      <c r="F1315" s="15" t="s">
        <v>83</v>
      </c>
      <c r="G1315" s="15" t="s">
        <v>84</v>
      </c>
      <c r="H1315" s="15" t="s">
        <v>72</v>
      </c>
      <c r="I1315" s="16">
        <v>7028</v>
      </c>
      <c r="J1315" s="16">
        <v>5379</v>
      </c>
      <c r="K1315" s="16">
        <v>6829</v>
      </c>
      <c r="L1315" s="17">
        <v>202.2</v>
      </c>
      <c r="M1315" s="17">
        <v>9.3000000000000007</v>
      </c>
      <c r="N1315" s="17">
        <f t="shared" si="60"/>
        <v>192.89999999999998</v>
      </c>
      <c r="O1315" s="17">
        <v>139.30000000000001</v>
      </c>
      <c r="P1315" s="17">
        <v>185.5</v>
      </c>
      <c r="Q1315" s="17">
        <v>113</v>
      </c>
      <c r="R1315" s="17">
        <f t="shared" si="61"/>
        <v>79.899999999999977</v>
      </c>
      <c r="S1315" s="17">
        <v>82.3</v>
      </c>
      <c r="T1315" s="17">
        <f t="shared" si="62"/>
        <v>57.000000000000014</v>
      </c>
    </row>
    <row r="1316" spans="1:20" x14ac:dyDescent="0.35">
      <c r="A1316" s="14" t="s">
        <v>103</v>
      </c>
      <c r="B1316" s="15" t="s">
        <v>104</v>
      </c>
      <c r="C1316" s="15" t="s">
        <v>93</v>
      </c>
      <c r="D1316" s="15" t="s">
        <v>98</v>
      </c>
      <c r="E1316" s="15" t="s">
        <v>92</v>
      </c>
      <c r="F1316" s="15" t="s">
        <v>67</v>
      </c>
      <c r="G1316" s="15" t="s">
        <v>68</v>
      </c>
      <c r="H1316" s="15" t="s">
        <v>69</v>
      </c>
      <c r="I1316" s="16">
        <v>143145</v>
      </c>
      <c r="J1316" s="16">
        <v>108131</v>
      </c>
      <c r="K1316" s="16">
        <v>138484</v>
      </c>
      <c r="L1316" s="17">
        <v>609.29999999999995</v>
      </c>
      <c r="M1316" s="17">
        <v>53.9</v>
      </c>
      <c r="N1316" s="17">
        <f t="shared" si="60"/>
        <v>555.4</v>
      </c>
      <c r="O1316" s="17">
        <v>397.7</v>
      </c>
      <c r="P1316" s="17">
        <v>533.79999999999995</v>
      </c>
      <c r="Q1316" s="17">
        <v>298.2</v>
      </c>
      <c r="R1316" s="17">
        <f t="shared" si="61"/>
        <v>257.2</v>
      </c>
      <c r="S1316" s="17">
        <v>218.5</v>
      </c>
      <c r="T1316" s="17">
        <f t="shared" si="62"/>
        <v>179.2</v>
      </c>
    </row>
    <row r="1317" spans="1:20" x14ac:dyDescent="0.35">
      <c r="A1317" s="14" t="s">
        <v>103</v>
      </c>
      <c r="B1317" s="15" t="s">
        <v>104</v>
      </c>
      <c r="C1317" s="15" t="s">
        <v>93</v>
      </c>
      <c r="D1317" s="15" t="s">
        <v>98</v>
      </c>
      <c r="E1317" s="15" t="s">
        <v>92</v>
      </c>
      <c r="F1317" s="15" t="s">
        <v>67</v>
      </c>
      <c r="G1317" s="15" t="s">
        <v>68</v>
      </c>
      <c r="H1317" s="15" t="s">
        <v>70</v>
      </c>
      <c r="I1317" s="16">
        <v>100655</v>
      </c>
      <c r="J1317" s="16">
        <v>74746</v>
      </c>
      <c r="K1317" s="16">
        <v>98135</v>
      </c>
      <c r="L1317" s="17">
        <v>511.1</v>
      </c>
      <c r="M1317" s="17">
        <v>39.4</v>
      </c>
      <c r="N1317" s="17">
        <f t="shared" si="60"/>
        <v>471.70000000000005</v>
      </c>
      <c r="O1317" s="17">
        <v>334.3</v>
      </c>
      <c r="P1317" s="17">
        <v>452.8</v>
      </c>
      <c r="Q1317" s="17">
        <v>262.5</v>
      </c>
      <c r="R1317" s="17">
        <f t="shared" si="61"/>
        <v>209.20000000000005</v>
      </c>
      <c r="S1317" s="17">
        <v>189</v>
      </c>
      <c r="T1317" s="17">
        <f t="shared" si="62"/>
        <v>145.30000000000001</v>
      </c>
    </row>
    <row r="1318" spans="1:20" x14ac:dyDescent="0.35">
      <c r="A1318" s="14" t="s">
        <v>103</v>
      </c>
      <c r="B1318" s="15" t="s">
        <v>104</v>
      </c>
      <c r="C1318" s="15" t="s">
        <v>93</v>
      </c>
      <c r="D1318" s="15" t="s">
        <v>98</v>
      </c>
      <c r="E1318" s="15" t="s">
        <v>92</v>
      </c>
      <c r="F1318" s="15" t="s">
        <v>67</v>
      </c>
      <c r="G1318" s="15" t="s">
        <v>68</v>
      </c>
      <c r="H1318" s="15" t="s">
        <v>71</v>
      </c>
      <c r="I1318" s="16">
        <v>123151</v>
      </c>
      <c r="J1318" s="16">
        <v>92493</v>
      </c>
      <c r="K1318" s="16">
        <v>119034</v>
      </c>
      <c r="L1318" s="17">
        <v>771.3</v>
      </c>
      <c r="M1318" s="17">
        <v>59.7</v>
      </c>
      <c r="N1318" s="17">
        <f t="shared" si="60"/>
        <v>711.59999999999991</v>
      </c>
      <c r="O1318" s="17">
        <v>506.4</v>
      </c>
      <c r="P1318" s="17">
        <v>688.3</v>
      </c>
      <c r="Q1318" s="17">
        <v>450.7</v>
      </c>
      <c r="R1318" s="17">
        <f t="shared" si="61"/>
        <v>260.89999999999992</v>
      </c>
      <c r="S1318" s="17">
        <v>325.5</v>
      </c>
      <c r="T1318" s="17">
        <f t="shared" si="62"/>
        <v>180.89999999999998</v>
      </c>
    </row>
    <row r="1319" spans="1:20" x14ac:dyDescent="0.35">
      <c r="A1319" s="14" t="s">
        <v>103</v>
      </c>
      <c r="B1319" s="15" t="s">
        <v>104</v>
      </c>
      <c r="C1319" s="15" t="s">
        <v>93</v>
      </c>
      <c r="D1319" s="15" t="s">
        <v>98</v>
      </c>
      <c r="E1319" s="15" t="s">
        <v>92</v>
      </c>
      <c r="F1319" s="15" t="s">
        <v>67</v>
      </c>
      <c r="G1319" s="15" t="s">
        <v>68</v>
      </c>
      <c r="H1319" s="15" t="s">
        <v>72</v>
      </c>
      <c r="I1319" s="16">
        <v>31865</v>
      </c>
      <c r="J1319" s="16">
        <v>23572</v>
      </c>
      <c r="K1319" s="16">
        <v>30923</v>
      </c>
      <c r="L1319" s="17">
        <v>283.3</v>
      </c>
      <c r="M1319" s="17">
        <v>22.9</v>
      </c>
      <c r="N1319" s="17">
        <f t="shared" si="60"/>
        <v>260.40000000000003</v>
      </c>
      <c r="O1319" s="17">
        <v>182.4</v>
      </c>
      <c r="P1319" s="17">
        <v>251.5</v>
      </c>
      <c r="Q1319" s="17">
        <v>167</v>
      </c>
      <c r="R1319" s="17">
        <f t="shared" si="61"/>
        <v>93.400000000000034</v>
      </c>
      <c r="S1319" s="17">
        <v>117.7</v>
      </c>
      <c r="T1319" s="17">
        <f t="shared" si="62"/>
        <v>64.7</v>
      </c>
    </row>
    <row r="1320" spans="1:20" x14ac:dyDescent="0.35">
      <c r="A1320" s="14" t="s">
        <v>103</v>
      </c>
      <c r="B1320" s="15" t="s">
        <v>104</v>
      </c>
      <c r="C1320" s="15" t="s">
        <v>93</v>
      </c>
      <c r="D1320" s="15" t="s">
        <v>98</v>
      </c>
      <c r="E1320" s="15" t="s">
        <v>92</v>
      </c>
      <c r="F1320" s="15" t="s">
        <v>67</v>
      </c>
      <c r="G1320" s="15" t="s">
        <v>73</v>
      </c>
      <c r="H1320" s="15" t="s">
        <v>71</v>
      </c>
      <c r="I1320" s="16">
        <v>31593</v>
      </c>
      <c r="J1320" s="16">
        <v>22128</v>
      </c>
      <c r="K1320" s="16">
        <v>30792</v>
      </c>
      <c r="L1320" s="17">
        <v>202.3</v>
      </c>
      <c r="M1320" s="17">
        <v>15.5</v>
      </c>
      <c r="N1320" s="17">
        <f t="shared" si="60"/>
        <v>186.8</v>
      </c>
      <c r="O1320" s="17">
        <v>123.5</v>
      </c>
      <c r="P1320" s="17">
        <v>181.2</v>
      </c>
      <c r="Q1320" s="17">
        <v>116.9</v>
      </c>
      <c r="R1320" s="17">
        <f t="shared" si="61"/>
        <v>69.900000000000006</v>
      </c>
      <c r="S1320" s="17">
        <v>78.7</v>
      </c>
      <c r="T1320" s="17">
        <f t="shared" si="62"/>
        <v>44.8</v>
      </c>
    </row>
    <row r="1321" spans="1:20" x14ac:dyDescent="0.35">
      <c r="A1321" s="14" t="s">
        <v>103</v>
      </c>
      <c r="B1321" s="15" t="s">
        <v>104</v>
      </c>
      <c r="C1321" s="15" t="s">
        <v>93</v>
      </c>
      <c r="D1321" s="15" t="s">
        <v>98</v>
      </c>
      <c r="E1321" s="15" t="s">
        <v>92</v>
      </c>
      <c r="F1321" s="15" t="s">
        <v>67</v>
      </c>
      <c r="G1321" s="15" t="s">
        <v>73</v>
      </c>
      <c r="H1321" s="15" t="s">
        <v>72</v>
      </c>
      <c r="I1321" s="16">
        <v>9077</v>
      </c>
      <c r="J1321" s="16">
        <v>6335</v>
      </c>
      <c r="K1321" s="16">
        <v>8855</v>
      </c>
      <c r="L1321" s="17">
        <v>78.400000000000006</v>
      </c>
      <c r="M1321" s="17">
        <v>5.8</v>
      </c>
      <c r="N1321" s="17">
        <f t="shared" si="60"/>
        <v>72.600000000000009</v>
      </c>
      <c r="O1321" s="17">
        <v>48.7</v>
      </c>
      <c r="P1321" s="17">
        <v>70.599999999999994</v>
      </c>
      <c r="Q1321" s="17">
        <v>47.5</v>
      </c>
      <c r="R1321" s="17">
        <f t="shared" si="61"/>
        <v>25.100000000000009</v>
      </c>
      <c r="S1321" s="17">
        <v>32.200000000000003</v>
      </c>
      <c r="T1321" s="17">
        <f t="shared" si="62"/>
        <v>16.5</v>
      </c>
    </row>
    <row r="1322" spans="1:20" x14ac:dyDescent="0.35">
      <c r="A1322" s="14" t="s">
        <v>103</v>
      </c>
      <c r="B1322" s="15" t="s">
        <v>104</v>
      </c>
      <c r="C1322" s="15" t="s">
        <v>93</v>
      </c>
      <c r="D1322" s="15" t="s">
        <v>98</v>
      </c>
      <c r="E1322" s="15" t="s">
        <v>92</v>
      </c>
      <c r="F1322" s="15" t="s">
        <v>67</v>
      </c>
      <c r="G1322" s="15" t="s">
        <v>74</v>
      </c>
      <c r="H1322" s="15" t="s">
        <v>70</v>
      </c>
      <c r="I1322" s="16">
        <v>43885</v>
      </c>
      <c r="J1322" s="16">
        <v>32569</v>
      </c>
      <c r="K1322" s="16">
        <v>42713</v>
      </c>
      <c r="L1322" s="17">
        <v>213.8</v>
      </c>
      <c r="M1322" s="17">
        <v>18.7</v>
      </c>
      <c r="N1322" s="17">
        <f t="shared" si="60"/>
        <v>195.10000000000002</v>
      </c>
      <c r="O1322" s="17">
        <v>137</v>
      </c>
      <c r="P1322" s="17">
        <v>187.9</v>
      </c>
      <c r="Q1322" s="17">
        <v>113.3</v>
      </c>
      <c r="R1322" s="17">
        <f t="shared" si="61"/>
        <v>81.800000000000026</v>
      </c>
      <c r="S1322" s="17">
        <v>80.900000000000006</v>
      </c>
      <c r="T1322" s="17">
        <f t="shared" si="62"/>
        <v>56.099999999999994</v>
      </c>
    </row>
    <row r="1323" spans="1:20" x14ac:dyDescent="0.35">
      <c r="A1323" s="14" t="s">
        <v>103</v>
      </c>
      <c r="B1323" s="15" t="s">
        <v>104</v>
      </c>
      <c r="C1323" s="15" t="s">
        <v>93</v>
      </c>
      <c r="D1323" s="15" t="s">
        <v>98</v>
      </c>
      <c r="E1323" s="15" t="s">
        <v>92</v>
      </c>
      <c r="F1323" s="15" t="s">
        <v>67</v>
      </c>
      <c r="G1323" s="15" t="s">
        <v>74</v>
      </c>
      <c r="H1323" s="15" t="s">
        <v>71</v>
      </c>
      <c r="I1323" s="16">
        <v>52523</v>
      </c>
      <c r="J1323" s="16">
        <v>39368</v>
      </c>
      <c r="K1323" s="16">
        <v>51359</v>
      </c>
      <c r="L1323" s="17">
        <v>327.10000000000002</v>
      </c>
      <c r="M1323" s="17">
        <v>24.9</v>
      </c>
      <c r="N1323" s="17">
        <f t="shared" si="60"/>
        <v>302.20000000000005</v>
      </c>
      <c r="O1323" s="17">
        <v>214.1</v>
      </c>
      <c r="P1323" s="17">
        <v>291.7</v>
      </c>
      <c r="Q1323" s="17">
        <v>186.7</v>
      </c>
      <c r="R1323" s="17">
        <f t="shared" si="61"/>
        <v>115.50000000000006</v>
      </c>
      <c r="S1323" s="17">
        <v>134.69999999999999</v>
      </c>
      <c r="T1323" s="17">
        <f t="shared" si="62"/>
        <v>79.400000000000006</v>
      </c>
    </row>
    <row r="1324" spans="1:20" x14ac:dyDescent="0.35">
      <c r="A1324" s="14" t="s">
        <v>103</v>
      </c>
      <c r="B1324" s="15" t="s">
        <v>104</v>
      </c>
      <c r="C1324" s="15" t="s">
        <v>93</v>
      </c>
      <c r="D1324" s="15" t="s">
        <v>98</v>
      </c>
      <c r="E1324" s="15" t="s">
        <v>92</v>
      </c>
      <c r="F1324" s="15" t="s">
        <v>67</v>
      </c>
      <c r="G1324" s="15" t="s">
        <v>75</v>
      </c>
      <c r="H1324" s="15" t="s">
        <v>71</v>
      </c>
      <c r="I1324" s="16">
        <v>39105</v>
      </c>
      <c r="J1324" s="16">
        <v>29365</v>
      </c>
      <c r="K1324" s="16">
        <v>37861</v>
      </c>
      <c r="L1324" s="17">
        <v>244.1</v>
      </c>
      <c r="M1324" s="17">
        <v>21.2</v>
      </c>
      <c r="N1324" s="17">
        <f t="shared" si="60"/>
        <v>222.9</v>
      </c>
      <c r="O1324" s="17">
        <v>158.30000000000001</v>
      </c>
      <c r="P1324" s="17">
        <v>215.9</v>
      </c>
      <c r="Q1324" s="17">
        <v>137.30000000000001</v>
      </c>
      <c r="R1324" s="17">
        <f t="shared" si="61"/>
        <v>85.6</v>
      </c>
      <c r="S1324" s="17">
        <v>99.6</v>
      </c>
      <c r="T1324" s="17">
        <f t="shared" si="62"/>
        <v>58.700000000000017</v>
      </c>
    </row>
    <row r="1325" spans="1:20" x14ac:dyDescent="0.35">
      <c r="A1325" s="14" t="s">
        <v>103</v>
      </c>
      <c r="B1325" s="15" t="s">
        <v>104</v>
      </c>
      <c r="C1325" s="15" t="s">
        <v>93</v>
      </c>
      <c r="D1325" s="15" t="s">
        <v>98</v>
      </c>
      <c r="E1325" s="15" t="s">
        <v>92</v>
      </c>
      <c r="F1325" s="15" t="s">
        <v>67</v>
      </c>
      <c r="G1325" s="15" t="s">
        <v>76</v>
      </c>
      <c r="H1325" s="15" t="s">
        <v>72</v>
      </c>
      <c r="I1325" s="16">
        <v>7463</v>
      </c>
      <c r="J1325" s="16">
        <v>5471</v>
      </c>
      <c r="K1325" s="16">
        <v>7218</v>
      </c>
      <c r="L1325" s="17">
        <v>76.599999999999994</v>
      </c>
      <c r="M1325" s="17">
        <v>6.4</v>
      </c>
      <c r="N1325" s="17">
        <f t="shared" si="60"/>
        <v>70.199999999999989</v>
      </c>
      <c r="O1325" s="17">
        <v>48.9</v>
      </c>
      <c r="P1325" s="17">
        <v>67.5</v>
      </c>
      <c r="Q1325" s="17">
        <v>43.1</v>
      </c>
      <c r="R1325" s="17">
        <f t="shared" si="61"/>
        <v>27.099999999999987</v>
      </c>
      <c r="S1325" s="17">
        <v>30.6</v>
      </c>
      <c r="T1325" s="17">
        <f t="shared" si="62"/>
        <v>18.299999999999997</v>
      </c>
    </row>
    <row r="1326" spans="1:20" x14ac:dyDescent="0.35">
      <c r="A1326" s="14" t="s">
        <v>103</v>
      </c>
      <c r="B1326" s="15" t="s">
        <v>104</v>
      </c>
      <c r="C1326" s="15" t="s">
        <v>93</v>
      </c>
      <c r="D1326" s="15" t="s">
        <v>98</v>
      </c>
      <c r="E1326" s="15" t="s">
        <v>92</v>
      </c>
      <c r="F1326" s="15" t="s">
        <v>79</v>
      </c>
      <c r="G1326" s="15" t="s">
        <v>95</v>
      </c>
      <c r="H1326" s="15" t="s">
        <v>71</v>
      </c>
      <c r="I1326" s="16">
        <v>34674</v>
      </c>
      <c r="J1326" s="16">
        <v>25557</v>
      </c>
      <c r="K1326" s="16">
        <v>33952</v>
      </c>
      <c r="L1326" s="17">
        <v>135.4</v>
      </c>
      <c r="M1326" s="17">
        <v>9.5</v>
      </c>
      <c r="N1326" s="17">
        <f t="shared" si="60"/>
        <v>125.9</v>
      </c>
      <c r="O1326" s="17">
        <v>88.7</v>
      </c>
      <c r="P1326" s="17">
        <v>122.3</v>
      </c>
      <c r="Q1326" s="17">
        <v>75</v>
      </c>
      <c r="R1326" s="17">
        <f t="shared" si="61"/>
        <v>50.900000000000006</v>
      </c>
      <c r="S1326" s="17">
        <v>53.5</v>
      </c>
      <c r="T1326" s="17">
        <f t="shared" si="62"/>
        <v>35.200000000000003</v>
      </c>
    </row>
    <row r="1327" spans="1:20" x14ac:dyDescent="0.35">
      <c r="A1327" s="14" t="s">
        <v>103</v>
      </c>
      <c r="B1327" s="15" t="s">
        <v>104</v>
      </c>
      <c r="C1327" s="15" t="s">
        <v>93</v>
      </c>
      <c r="D1327" s="15" t="s">
        <v>98</v>
      </c>
      <c r="E1327" s="15" t="s">
        <v>92</v>
      </c>
      <c r="F1327" s="15" t="s">
        <v>81</v>
      </c>
      <c r="G1327" s="15" t="s">
        <v>82</v>
      </c>
      <c r="H1327" s="15" t="s">
        <v>71</v>
      </c>
      <c r="I1327" s="16">
        <v>11701</v>
      </c>
      <c r="J1327" s="16">
        <v>8544</v>
      </c>
      <c r="K1327" s="16">
        <v>11428</v>
      </c>
      <c r="L1327" s="17">
        <v>96.3</v>
      </c>
      <c r="M1327" s="17">
        <v>7</v>
      </c>
      <c r="N1327" s="17">
        <f t="shared" si="60"/>
        <v>89.3</v>
      </c>
      <c r="O1327" s="17">
        <v>61.7</v>
      </c>
      <c r="P1327" s="17">
        <v>86.9</v>
      </c>
      <c r="Q1327" s="17">
        <v>54.1</v>
      </c>
      <c r="R1327" s="17">
        <f t="shared" si="61"/>
        <v>35.199999999999996</v>
      </c>
      <c r="S1327" s="17">
        <v>38.200000000000003</v>
      </c>
      <c r="T1327" s="17">
        <f t="shared" si="62"/>
        <v>23.5</v>
      </c>
    </row>
    <row r="1328" spans="1:20" x14ac:dyDescent="0.35">
      <c r="A1328" s="14" t="s">
        <v>103</v>
      </c>
      <c r="B1328" s="15" t="s">
        <v>104</v>
      </c>
      <c r="C1328" s="15" t="s">
        <v>93</v>
      </c>
      <c r="D1328" s="15" t="s">
        <v>98</v>
      </c>
      <c r="E1328" s="15" t="s">
        <v>92</v>
      </c>
      <c r="F1328" s="15" t="s">
        <v>83</v>
      </c>
      <c r="G1328" s="15" t="s">
        <v>84</v>
      </c>
      <c r="H1328" s="15" t="s">
        <v>72</v>
      </c>
      <c r="I1328" s="16">
        <v>5674</v>
      </c>
      <c r="J1328" s="16">
        <v>3846</v>
      </c>
      <c r="K1328" s="16">
        <v>5484</v>
      </c>
      <c r="L1328" s="17">
        <v>151.69999999999999</v>
      </c>
      <c r="M1328" s="17">
        <v>12.3</v>
      </c>
      <c r="N1328" s="17">
        <f t="shared" si="60"/>
        <v>139.39999999999998</v>
      </c>
      <c r="O1328" s="17">
        <v>89.3</v>
      </c>
      <c r="P1328" s="17">
        <v>135.30000000000001</v>
      </c>
      <c r="Q1328" s="17">
        <v>82.3</v>
      </c>
      <c r="R1328" s="17">
        <f t="shared" si="61"/>
        <v>57.09999999999998</v>
      </c>
      <c r="S1328" s="17">
        <v>53.2</v>
      </c>
      <c r="T1328" s="17">
        <f t="shared" si="62"/>
        <v>36.099999999999994</v>
      </c>
    </row>
    <row r="1329" spans="1:20" x14ac:dyDescent="0.35">
      <c r="A1329" s="14" t="s">
        <v>103</v>
      </c>
      <c r="B1329" s="15" t="s">
        <v>104</v>
      </c>
      <c r="C1329" s="15" t="s">
        <v>64</v>
      </c>
      <c r="D1329" s="15" t="s">
        <v>99</v>
      </c>
      <c r="E1329" s="15" t="s">
        <v>66</v>
      </c>
      <c r="F1329" s="15" t="s">
        <v>67</v>
      </c>
      <c r="G1329" s="15" t="s">
        <v>68</v>
      </c>
      <c r="H1329" s="15" t="s">
        <v>69</v>
      </c>
      <c r="I1329" s="16">
        <v>46766</v>
      </c>
      <c r="J1329" s="16">
        <v>43136</v>
      </c>
      <c r="K1329" s="16">
        <v>46169</v>
      </c>
      <c r="L1329" s="17">
        <v>231.2</v>
      </c>
      <c r="M1329" s="17">
        <v>30.9</v>
      </c>
      <c r="N1329" s="17">
        <f t="shared" si="60"/>
        <v>200.29999999999998</v>
      </c>
      <c r="O1329" s="17">
        <v>175.1</v>
      </c>
      <c r="P1329" s="17">
        <v>195.8</v>
      </c>
      <c r="Q1329" s="17">
        <v>112</v>
      </c>
      <c r="R1329" s="17">
        <f t="shared" si="61"/>
        <v>88.299999999999983</v>
      </c>
      <c r="S1329" s="17">
        <v>99.5</v>
      </c>
      <c r="T1329" s="17">
        <f t="shared" si="62"/>
        <v>75.599999999999994</v>
      </c>
    </row>
    <row r="1330" spans="1:20" x14ac:dyDescent="0.35">
      <c r="A1330" s="14" t="s">
        <v>103</v>
      </c>
      <c r="B1330" s="15" t="s">
        <v>104</v>
      </c>
      <c r="C1330" s="15" t="s">
        <v>64</v>
      </c>
      <c r="D1330" s="15" t="s">
        <v>99</v>
      </c>
      <c r="E1330" s="15" t="s">
        <v>66</v>
      </c>
      <c r="F1330" s="15" t="s">
        <v>67</v>
      </c>
      <c r="G1330" s="15" t="s">
        <v>68</v>
      </c>
      <c r="H1330" s="15" t="s">
        <v>70</v>
      </c>
      <c r="I1330" s="16">
        <v>125870</v>
      </c>
      <c r="J1330" s="16">
        <v>113031</v>
      </c>
      <c r="K1330" s="16">
        <v>122850</v>
      </c>
      <c r="L1330" s="17">
        <v>743.5</v>
      </c>
      <c r="M1330" s="17">
        <v>111.4</v>
      </c>
      <c r="N1330" s="17">
        <f t="shared" si="60"/>
        <v>632.1</v>
      </c>
      <c r="O1330" s="17">
        <v>533.79999999999995</v>
      </c>
      <c r="P1330" s="17">
        <v>612.9</v>
      </c>
      <c r="Q1330" s="17">
        <v>368.7</v>
      </c>
      <c r="R1330" s="17">
        <f t="shared" si="61"/>
        <v>263.40000000000003</v>
      </c>
      <c r="S1330" s="17">
        <v>317.60000000000002</v>
      </c>
      <c r="T1330" s="17">
        <f t="shared" si="62"/>
        <v>216.19999999999993</v>
      </c>
    </row>
    <row r="1331" spans="1:20" x14ac:dyDescent="0.35">
      <c r="A1331" s="14" t="s">
        <v>103</v>
      </c>
      <c r="B1331" s="15" t="s">
        <v>104</v>
      </c>
      <c r="C1331" s="15" t="s">
        <v>64</v>
      </c>
      <c r="D1331" s="15" t="s">
        <v>99</v>
      </c>
      <c r="E1331" s="15" t="s">
        <v>66</v>
      </c>
      <c r="F1331" s="15" t="s">
        <v>67</v>
      </c>
      <c r="G1331" s="15" t="s">
        <v>68</v>
      </c>
      <c r="H1331" s="15" t="s">
        <v>71</v>
      </c>
      <c r="I1331" s="16">
        <v>252925</v>
      </c>
      <c r="J1331" s="16">
        <v>233776</v>
      </c>
      <c r="K1331" s="16">
        <v>246152</v>
      </c>
      <c r="L1331" s="17">
        <v>1939.9</v>
      </c>
      <c r="M1331" s="17">
        <v>287.7</v>
      </c>
      <c r="N1331" s="17">
        <f t="shared" si="60"/>
        <v>1652.2</v>
      </c>
      <c r="O1331" s="17">
        <v>1442.3</v>
      </c>
      <c r="P1331" s="17">
        <v>1611</v>
      </c>
      <c r="Q1331" s="17">
        <v>1041</v>
      </c>
      <c r="R1331" s="17">
        <f t="shared" si="61"/>
        <v>611.20000000000005</v>
      </c>
      <c r="S1331" s="17">
        <v>930</v>
      </c>
      <c r="T1331" s="17">
        <f t="shared" si="62"/>
        <v>512.29999999999995</v>
      </c>
    </row>
    <row r="1332" spans="1:20" x14ac:dyDescent="0.35">
      <c r="A1332" s="14" t="s">
        <v>103</v>
      </c>
      <c r="B1332" s="15" t="s">
        <v>104</v>
      </c>
      <c r="C1332" s="15" t="s">
        <v>64</v>
      </c>
      <c r="D1332" s="15" t="s">
        <v>99</v>
      </c>
      <c r="E1332" s="15" t="s">
        <v>66</v>
      </c>
      <c r="F1332" s="15" t="s">
        <v>67</v>
      </c>
      <c r="G1332" s="15" t="s">
        <v>68</v>
      </c>
      <c r="H1332" s="15" t="s">
        <v>72</v>
      </c>
      <c r="I1332" s="16">
        <v>97670</v>
      </c>
      <c r="J1332" s="16">
        <v>86471</v>
      </c>
      <c r="K1332" s="16">
        <v>95672</v>
      </c>
      <c r="L1332" s="17">
        <v>1023.2</v>
      </c>
      <c r="M1332" s="17">
        <v>146.9</v>
      </c>
      <c r="N1332" s="17">
        <f t="shared" si="60"/>
        <v>876.30000000000007</v>
      </c>
      <c r="O1332" s="17">
        <v>732.3</v>
      </c>
      <c r="P1332" s="17">
        <v>853.6</v>
      </c>
      <c r="Q1332" s="17">
        <v>562.70000000000005</v>
      </c>
      <c r="R1332" s="17">
        <f t="shared" si="61"/>
        <v>313.60000000000002</v>
      </c>
      <c r="S1332" s="17">
        <v>475.1</v>
      </c>
      <c r="T1332" s="17">
        <f t="shared" si="62"/>
        <v>257.19999999999993</v>
      </c>
    </row>
    <row r="1333" spans="1:20" x14ac:dyDescent="0.35">
      <c r="A1333" s="14" t="s">
        <v>103</v>
      </c>
      <c r="B1333" s="15" t="s">
        <v>104</v>
      </c>
      <c r="C1333" s="15" t="s">
        <v>64</v>
      </c>
      <c r="D1333" s="15" t="s">
        <v>99</v>
      </c>
      <c r="E1333" s="15" t="s">
        <v>66</v>
      </c>
      <c r="F1333" s="15" t="s">
        <v>67</v>
      </c>
      <c r="G1333" s="15" t="s">
        <v>73</v>
      </c>
      <c r="H1333" s="15" t="s">
        <v>71</v>
      </c>
      <c r="I1333" s="16">
        <v>65557</v>
      </c>
      <c r="J1333" s="16">
        <v>55549</v>
      </c>
      <c r="K1333" s="16">
        <v>63856</v>
      </c>
      <c r="L1333" s="17">
        <v>487.9</v>
      </c>
      <c r="M1333" s="17">
        <v>65.599999999999994</v>
      </c>
      <c r="N1333" s="17">
        <f t="shared" si="60"/>
        <v>422.29999999999995</v>
      </c>
      <c r="O1333" s="17">
        <v>335.4</v>
      </c>
      <c r="P1333" s="17">
        <v>408.9</v>
      </c>
      <c r="Q1333" s="17">
        <v>256.5</v>
      </c>
      <c r="R1333" s="17">
        <f t="shared" si="61"/>
        <v>165.79999999999995</v>
      </c>
      <c r="S1333" s="17">
        <v>206.3</v>
      </c>
      <c r="T1333" s="17">
        <f t="shared" si="62"/>
        <v>129.09999999999997</v>
      </c>
    </row>
    <row r="1334" spans="1:20" x14ac:dyDescent="0.35">
      <c r="A1334" s="14" t="s">
        <v>103</v>
      </c>
      <c r="B1334" s="15" t="s">
        <v>104</v>
      </c>
      <c r="C1334" s="15" t="s">
        <v>64</v>
      </c>
      <c r="D1334" s="15" t="s">
        <v>99</v>
      </c>
      <c r="E1334" s="15" t="s">
        <v>66</v>
      </c>
      <c r="F1334" s="15" t="s">
        <v>67</v>
      </c>
      <c r="G1334" s="15" t="s">
        <v>73</v>
      </c>
      <c r="H1334" s="15" t="s">
        <v>72</v>
      </c>
      <c r="I1334" s="16">
        <v>29465</v>
      </c>
      <c r="J1334" s="16">
        <v>24049</v>
      </c>
      <c r="K1334" s="16">
        <v>28964</v>
      </c>
      <c r="L1334" s="17">
        <v>295.10000000000002</v>
      </c>
      <c r="M1334" s="17">
        <v>41.3</v>
      </c>
      <c r="N1334" s="17">
        <f t="shared" si="60"/>
        <v>253.8</v>
      </c>
      <c r="O1334" s="17">
        <v>194.2</v>
      </c>
      <c r="P1334" s="17">
        <v>244.9</v>
      </c>
      <c r="Q1334" s="17">
        <v>162.30000000000001</v>
      </c>
      <c r="R1334" s="17">
        <f t="shared" si="61"/>
        <v>91.5</v>
      </c>
      <c r="S1334" s="17">
        <v>126.9</v>
      </c>
      <c r="T1334" s="17">
        <f t="shared" si="62"/>
        <v>67.299999999999983</v>
      </c>
    </row>
    <row r="1335" spans="1:20" x14ac:dyDescent="0.35">
      <c r="A1335" s="14" t="s">
        <v>103</v>
      </c>
      <c r="B1335" s="15" t="s">
        <v>104</v>
      </c>
      <c r="C1335" s="15" t="s">
        <v>64</v>
      </c>
      <c r="D1335" s="15" t="s">
        <v>99</v>
      </c>
      <c r="E1335" s="15" t="s">
        <v>66</v>
      </c>
      <c r="F1335" s="15" t="s">
        <v>67</v>
      </c>
      <c r="G1335" s="15" t="s">
        <v>74</v>
      </c>
      <c r="H1335" s="15" t="s">
        <v>70</v>
      </c>
      <c r="I1335" s="16">
        <v>49791</v>
      </c>
      <c r="J1335" s="16">
        <v>44822</v>
      </c>
      <c r="K1335" s="16">
        <v>49183</v>
      </c>
      <c r="L1335" s="17">
        <v>294.3</v>
      </c>
      <c r="M1335" s="17">
        <v>41.6</v>
      </c>
      <c r="N1335" s="17">
        <f t="shared" si="60"/>
        <v>252.70000000000002</v>
      </c>
      <c r="O1335" s="17">
        <v>215.7</v>
      </c>
      <c r="P1335" s="17">
        <v>247.6</v>
      </c>
      <c r="Q1335" s="17">
        <v>141.80000000000001</v>
      </c>
      <c r="R1335" s="17">
        <f t="shared" si="61"/>
        <v>110.9</v>
      </c>
      <c r="S1335" s="17">
        <v>122.3</v>
      </c>
      <c r="T1335" s="17">
        <f t="shared" si="62"/>
        <v>93.399999999999991</v>
      </c>
    </row>
    <row r="1336" spans="1:20" x14ac:dyDescent="0.35">
      <c r="A1336" s="14" t="s">
        <v>103</v>
      </c>
      <c r="B1336" s="15" t="s">
        <v>104</v>
      </c>
      <c r="C1336" s="15" t="s">
        <v>64</v>
      </c>
      <c r="D1336" s="15" t="s">
        <v>99</v>
      </c>
      <c r="E1336" s="15" t="s">
        <v>66</v>
      </c>
      <c r="F1336" s="15" t="s">
        <v>67</v>
      </c>
      <c r="G1336" s="15" t="s">
        <v>74</v>
      </c>
      <c r="H1336" s="15" t="s">
        <v>71</v>
      </c>
      <c r="I1336" s="16">
        <v>106420</v>
      </c>
      <c r="J1336" s="16">
        <v>96725</v>
      </c>
      <c r="K1336" s="16">
        <v>104553</v>
      </c>
      <c r="L1336" s="17">
        <v>797.5</v>
      </c>
      <c r="M1336" s="17">
        <v>112.3</v>
      </c>
      <c r="N1336" s="17">
        <f t="shared" si="60"/>
        <v>685.2</v>
      </c>
      <c r="O1336" s="17">
        <v>589</v>
      </c>
      <c r="P1336" s="17">
        <v>663.4</v>
      </c>
      <c r="Q1336" s="17">
        <v>423.4</v>
      </c>
      <c r="R1336" s="17">
        <f t="shared" si="61"/>
        <v>261.80000000000007</v>
      </c>
      <c r="S1336" s="17">
        <v>372.6</v>
      </c>
      <c r="T1336" s="17">
        <f t="shared" si="62"/>
        <v>216.39999999999998</v>
      </c>
    </row>
    <row r="1337" spans="1:20" x14ac:dyDescent="0.35">
      <c r="A1337" s="14" t="s">
        <v>103</v>
      </c>
      <c r="B1337" s="15" t="s">
        <v>104</v>
      </c>
      <c r="C1337" s="15" t="s">
        <v>64</v>
      </c>
      <c r="D1337" s="15" t="s">
        <v>99</v>
      </c>
      <c r="E1337" s="15" t="s">
        <v>66</v>
      </c>
      <c r="F1337" s="15" t="s">
        <v>67</v>
      </c>
      <c r="G1337" s="15" t="s">
        <v>75</v>
      </c>
      <c r="H1337" s="15" t="s">
        <v>71</v>
      </c>
      <c r="I1337" s="16">
        <v>89183</v>
      </c>
      <c r="J1337" s="16">
        <v>80250</v>
      </c>
      <c r="K1337" s="16">
        <v>87233</v>
      </c>
      <c r="L1337" s="17">
        <v>638.70000000000005</v>
      </c>
      <c r="M1337" s="17">
        <v>95.3</v>
      </c>
      <c r="N1337" s="17">
        <f t="shared" si="60"/>
        <v>543.40000000000009</v>
      </c>
      <c r="O1337" s="17">
        <v>461.3</v>
      </c>
      <c r="P1337" s="17">
        <v>525.79999999999995</v>
      </c>
      <c r="Q1337" s="17">
        <v>330.4</v>
      </c>
      <c r="R1337" s="17">
        <f t="shared" si="61"/>
        <v>213.00000000000011</v>
      </c>
      <c r="S1337" s="17">
        <v>285.7</v>
      </c>
      <c r="T1337" s="17">
        <f t="shared" si="62"/>
        <v>175.60000000000002</v>
      </c>
    </row>
    <row r="1338" spans="1:20" x14ac:dyDescent="0.35">
      <c r="A1338" s="14" t="s">
        <v>103</v>
      </c>
      <c r="B1338" s="15" t="s">
        <v>104</v>
      </c>
      <c r="C1338" s="15" t="s">
        <v>64</v>
      </c>
      <c r="D1338" s="15" t="s">
        <v>99</v>
      </c>
      <c r="E1338" s="15" t="s">
        <v>66</v>
      </c>
      <c r="F1338" s="15" t="s">
        <v>67</v>
      </c>
      <c r="G1338" s="15" t="s">
        <v>76</v>
      </c>
      <c r="H1338" s="15" t="s">
        <v>72</v>
      </c>
      <c r="I1338" s="16">
        <v>21578</v>
      </c>
      <c r="J1338" s="16">
        <v>18892</v>
      </c>
      <c r="K1338" s="16">
        <v>21021</v>
      </c>
      <c r="L1338" s="17">
        <v>262</v>
      </c>
      <c r="M1338" s="17">
        <v>38.799999999999997</v>
      </c>
      <c r="N1338" s="17">
        <f t="shared" si="60"/>
        <v>223.2</v>
      </c>
      <c r="O1338" s="17">
        <v>185.5</v>
      </c>
      <c r="P1338" s="17">
        <v>217.4</v>
      </c>
      <c r="Q1338" s="17">
        <v>138</v>
      </c>
      <c r="R1338" s="17">
        <f t="shared" si="61"/>
        <v>85.199999999999989</v>
      </c>
      <c r="S1338" s="17">
        <v>115.5</v>
      </c>
      <c r="T1338" s="17">
        <f t="shared" si="62"/>
        <v>70</v>
      </c>
    </row>
    <row r="1339" spans="1:20" x14ac:dyDescent="0.35">
      <c r="A1339" s="14" t="s">
        <v>103</v>
      </c>
      <c r="B1339" s="15" t="s">
        <v>104</v>
      </c>
      <c r="C1339" s="15" t="s">
        <v>64</v>
      </c>
      <c r="D1339" s="15" t="s">
        <v>99</v>
      </c>
      <c r="E1339" s="15" t="s">
        <v>66</v>
      </c>
      <c r="F1339" s="15" t="s">
        <v>79</v>
      </c>
      <c r="G1339" s="15" t="s">
        <v>80</v>
      </c>
      <c r="H1339" s="15" t="s">
        <v>71</v>
      </c>
      <c r="I1339" s="16">
        <v>87889</v>
      </c>
      <c r="J1339" s="16">
        <v>77156</v>
      </c>
      <c r="K1339" s="16">
        <v>86573</v>
      </c>
      <c r="L1339" s="17">
        <v>413.4</v>
      </c>
      <c r="M1339" s="17">
        <v>60.9</v>
      </c>
      <c r="N1339" s="17">
        <f t="shared" si="60"/>
        <v>352.5</v>
      </c>
      <c r="O1339" s="17">
        <v>292.60000000000002</v>
      </c>
      <c r="P1339" s="17">
        <v>341.2</v>
      </c>
      <c r="Q1339" s="17">
        <v>214</v>
      </c>
      <c r="R1339" s="17">
        <f t="shared" si="61"/>
        <v>138.5</v>
      </c>
      <c r="S1339" s="17">
        <v>180.6</v>
      </c>
      <c r="T1339" s="17">
        <f t="shared" si="62"/>
        <v>112.00000000000003</v>
      </c>
    </row>
    <row r="1340" spans="1:20" x14ac:dyDescent="0.35">
      <c r="A1340" s="14" t="s">
        <v>103</v>
      </c>
      <c r="B1340" s="15" t="s">
        <v>104</v>
      </c>
      <c r="C1340" s="15" t="s">
        <v>64</v>
      </c>
      <c r="D1340" s="15" t="s">
        <v>99</v>
      </c>
      <c r="E1340" s="15" t="s">
        <v>66</v>
      </c>
      <c r="F1340" s="15" t="s">
        <v>81</v>
      </c>
      <c r="G1340" s="15" t="s">
        <v>82</v>
      </c>
      <c r="H1340" s="15" t="s">
        <v>71</v>
      </c>
      <c r="I1340" s="16">
        <v>27360</v>
      </c>
      <c r="J1340" s="16">
        <v>24010</v>
      </c>
      <c r="K1340" s="16">
        <v>27003</v>
      </c>
      <c r="L1340" s="17">
        <v>271.5</v>
      </c>
      <c r="M1340" s="17">
        <v>38.9</v>
      </c>
      <c r="N1340" s="17">
        <f t="shared" si="60"/>
        <v>232.6</v>
      </c>
      <c r="O1340" s="17">
        <v>190.8</v>
      </c>
      <c r="P1340" s="17">
        <v>224.3</v>
      </c>
      <c r="Q1340" s="17">
        <v>141.69999999999999</v>
      </c>
      <c r="R1340" s="17">
        <f t="shared" si="61"/>
        <v>90.9</v>
      </c>
      <c r="S1340" s="17">
        <v>119</v>
      </c>
      <c r="T1340" s="17">
        <f t="shared" si="62"/>
        <v>71.800000000000011</v>
      </c>
    </row>
    <row r="1341" spans="1:20" x14ac:dyDescent="0.35">
      <c r="A1341" s="14" t="s">
        <v>103</v>
      </c>
      <c r="B1341" s="15" t="s">
        <v>104</v>
      </c>
      <c r="C1341" s="15" t="s">
        <v>64</v>
      </c>
      <c r="D1341" s="15" t="s">
        <v>99</v>
      </c>
      <c r="E1341" s="15" t="s">
        <v>66</v>
      </c>
      <c r="F1341" s="15" t="s">
        <v>83</v>
      </c>
      <c r="G1341" s="15" t="s">
        <v>84</v>
      </c>
      <c r="H1341" s="15" t="s">
        <v>72</v>
      </c>
      <c r="I1341" s="16">
        <v>26045</v>
      </c>
      <c r="J1341" s="16">
        <v>20453</v>
      </c>
      <c r="K1341" s="16">
        <v>25452</v>
      </c>
      <c r="L1341" s="17">
        <v>811.4</v>
      </c>
      <c r="M1341" s="17">
        <v>109.3</v>
      </c>
      <c r="N1341" s="17">
        <f t="shared" si="60"/>
        <v>702.1</v>
      </c>
      <c r="O1341" s="17">
        <v>520.79999999999995</v>
      </c>
      <c r="P1341" s="17">
        <v>687.8</v>
      </c>
      <c r="Q1341" s="17">
        <v>399.5</v>
      </c>
      <c r="R1341" s="17">
        <f t="shared" si="61"/>
        <v>302.60000000000002</v>
      </c>
      <c r="S1341" s="17">
        <v>301.89999999999998</v>
      </c>
      <c r="T1341" s="17">
        <f t="shared" si="62"/>
        <v>218.89999999999998</v>
      </c>
    </row>
    <row r="1342" spans="1:20" x14ac:dyDescent="0.35">
      <c r="A1342" s="14" t="s">
        <v>103</v>
      </c>
      <c r="B1342" s="15" t="s">
        <v>104</v>
      </c>
      <c r="C1342" s="15" t="s">
        <v>64</v>
      </c>
      <c r="D1342" s="15" t="s">
        <v>99</v>
      </c>
      <c r="E1342" s="15" t="s">
        <v>89</v>
      </c>
      <c r="F1342" s="15" t="s">
        <v>67</v>
      </c>
      <c r="G1342" s="15" t="s">
        <v>68</v>
      </c>
      <c r="H1342" s="15" t="s">
        <v>69</v>
      </c>
      <c r="I1342" s="16">
        <v>329480</v>
      </c>
      <c r="J1342" s="16">
        <v>306948</v>
      </c>
      <c r="K1342" s="16">
        <v>320528</v>
      </c>
      <c r="L1342" s="17">
        <v>1623.1</v>
      </c>
      <c r="M1342" s="17">
        <v>109.8</v>
      </c>
      <c r="N1342" s="17">
        <f t="shared" si="60"/>
        <v>1513.3</v>
      </c>
      <c r="O1342" s="17">
        <v>1323.6</v>
      </c>
      <c r="P1342" s="17">
        <v>1477.9</v>
      </c>
      <c r="Q1342" s="17">
        <v>840.2</v>
      </c>
      <c r="R1342" s="17">
        <f t="shared" si="61"/>
        <v>673.09999999999991</v>
      </c>
      <c r="S1342" s="17">
        <v>741.8</v>
      </c>
      <c r="T1342" s="17">
        <f t="shared" si="62"/>
        <v>581.79999999999995</v>
      </c>
    </row>
    <row r="1343" spans="1:20" x14ac:dyDescent="0.35">
      <c r="A1343" s="14" t="s">
        <v>103</v>
      </c>
      <c r="B1343" s="15" t="s">
        <v>104</v>
      </c>
      <c r="C1343" s="15" t="s">
        <v>64</v>
      </c>
      <c r="D1343" s="15" t="s">
        <v>99</v>
      </c>
      <c r="E1343" s="15" t="s">
        <v>89</v>
      </c>
      <c r="F1343" s="15" t="s">
        <v>67</v>
      </c>
      <c r="G1343" s="15" t="s">
        <v>68</v>
      </c>
      <c r="H1343" s="15" t="s">
        <v>70</v>
      </c>
      <c r="I1343" s="16">
        <v>373473</v>
      </c>
      <c r="J1343" s="16">
        <v>342060</v>
      </c>
      <c r="K1343" s="16">
        <v>366649</v>
      </c>
      <c r="L1343" s="17">
        <v>2153.6999999999998</v>
      </c>
      <c r="M1343" s="17">
        <v>159.19999999999999</v>
      </c>
      <c r="N1343" s="17">
        <f t="shared" si="60"/>
        <v>1994.4999999999998</v>
      </c>
      <c r="O1343" s="17">
        <v>1708.4</v>
      </c>
      <c r="P1343" s="17">
        <v>1919.6</v>
      </c>
      <c r="Q1343" s="17">
        <v>1165.8</v>
      </c>
      <c r="R1343" s="17">
        <f t="shared" si="61"/>
        <v>828.69999999999982</v>
      </c>
      <c r="S1343" s="17">
        <v>1011.3</v>
      </c>
      <c r="T1343" s="17">
        <f t="shared" si="62"/>
        <v>697.10000000000014</v>
      </c>
    </row>
    <row r="1344" spans="1:20" x14ac:dyDescent="0.35">
      <c r="A1344" s="14" t="s">
        <v>103</v>
      </c>
      <c r="B1344" s="15" t="s">
        <v>104</v>
      </c>
      <c r="C1344" s="15" t="s">
        <v>64</v>
      </c>
      <c r="D1344" s="15" t="s">
        <v>99</v>
      </c>
      <c r="E1344" s="15" t="s">
        <v>89</v>
      </c>
      <c r="F1344" s="15" t="s">
        <v>67</v>
      </c>
      <c r="G1344" s="15" t="s">
        <v>68</v>
      </c>
      <c r="H1344" s="15" t="s">
        <v>71</v>
      </c>
      <c r="I1344" s="16">
        <v>347812</v>
      </c>
      <c r="J1344" s="16">
        <v>323000</v>
      </c>
      <c r="K1344" s="16">
        <v>338406</v>
      </c>
      <c r="L1344" s="17">
        <v>2546.6999999999998</v>
      </c>
      <c r="M1344" s="17">
        <v>182.5</v>
      </c>
      <c r="N1344" s="17">
        <f t="shared" si="60"/>
        <v>2364.1999999999998</v>
      </c>
      <c r="O1344" s="17">
        <v>2082.6</v>
      </c>
      <c r="P1344" s="17">
        <v>2308.1999999999998</v>
      </c>
      <c r="Q1344" s="17">
        <v>1456</v>
      </c>
      <c r="R1344" s="17">
        <f t="shared" si="61"/>
        <v>908.19999999999982</v>
      </c>
      <c r="S1344" s="17">
        <v>1310.2</v>
      </c>
      <c r="T1344" s="17">
        <f t="shared" si="62"/>
        <v>772.39999999999986</v>
      </c>
    </row>
    <row r="1345" spans="1:20" x14ac:dyDescent="0.35">
      <c r="A1345" s="14" t="s">
        <v>103</v>
      </c>
      <c r="B1345" s="15" t="s">
        <v>104</v>
      </c>
      <c r="C1345" s="15" t="s">
        <v>64</v>
      </c>
      <c r="D1345" s="15" t="s">
        <v>99</v>
      </c>
      <c r="E1345" s="15" t="s">
        <v>89</v>
      </c>
      <c r="F1345" s="15" t="s">
        <v>67</v>
      </c>
      <c r="G1345" s="15" t="s">
        <v>68</v>
      </c>
      <c r="H1345" s="15" t="s">
        <v>72</v>
      </c>
      <c r="I1345" s="16">
        <v>70958</v>
      </c>
      <c r="J1345" s="16">
        <v>65276</v>
      </c>
      <c r="K1345" s="16">
        <v>69940</v>
      </c>
      <c r="L1345" s="17">
        <v>678.3</v>
      </c>
      <c r="M1345" s="17">
        <v>42.7</v>
      </c>
      <c r="N1345" s="17">
        <f t="shared" si="60"/>
        <v>635.59999999999991</v>
      </c>
      <c r="O1345" s="17">
        <v>552.5</v>
      </c>
      <c r="P1345" s="17">
        <v>611.20000000000005</v>
      </c>
      <c r="Q1345" s="17">
        <v>399.7</v>
      </c>
      <c r="R1345" s="17">
        <f t="shared" si="61"/>
        <v>235.89999999999992</v>
      </c>
      <c r="S1345" s="17">
        <v>351.8</v>
      </c>
      <c r="T1345" s="17">
        <f t="shared" si="62"/>
        <v>200.7</v>
      </c>
    </row>
    <row r="1346" spans="1:20" x14ac:dyDescent="0.35">
      <c r="A1346" s="14" t="s">
        <v>103</v>
      </c>
      <c r="B1346" s="15" t="s">
        <v>104</v>
      </c>
      <c r="C1346" s="15" t="s">
        <v>64</v>
      </c>
      <c r="D1346" s="15" t="s">
        <v>99</v>
      </c>
      <c r="E1346" s="15" t="s">
        <v>89</v>
      </c>
      <c r="F1346" s="15" t="s">
        <v>67</v>
      </c>
      <c r="G1346" s="15" t="s">
        <v>73</v>
      </c>
      <c r="H1346" s="15" t="s">
        <v>71</v>
      </c>
      <c r="I1346" s="16">
        <v>81817</v>
      </c>
      <c r="J1346" s="16">
        <v>69092</v>
      </c>
      <c r="K1346" s="16">
        <v>80226</v>
      </c>
      <c r="L1346" s="17">
        <v>617.79999999999995</v>
      </c>
      <c r="M1346" s="17">
        <v>47.9</v>
      </c>
      <c r="N1346" s="17">
        <f t="shared" si="60"/>
        <v>569.9</v>
      </c>
      <c r="O1346" s="17">
        <v>458.2</v>
      </c>
      <c r="P1346" s="17">
        <v>558.20000000000005</v>
      </c>
      <c r="Q1346" s="17">
        <v>351.6</v>
      </c>
      <c r="R1346" s="17">
        <f t="shared" si="61"/>
        <v>218.29999999999995</v>
      </c>
      <c r="S1346" s="17">
        <v>286.8</v>
      </c>
      <c r="T1346" s="17">
        <f t="shared" si="62"/>
        <v>171.39999999999998</v>
      </c>
    </row>
    <row r="1347" spans="1:20" x14ac:dyDescent="0.35">
      <c r="A1347" s="14" t="s">
        <v>103</v>
      </c>
      <c r="B1347" s="15" t="s">
        <v>104</v>
      </c>
      <c r="C1347" s="15" t="s">
        <v>64</v>
      </c>
      <c r="D1347" s="15" t="s">
        <v>99</v>
      </c>
      <c r="E1347" s="15" t="s">
        <v>89</v>
      </c>
      <c r="F1347" s="15" t="s">
        <v>67</v>
      </c>
      <c r="G1347" s="15" t="s">
        <v>73</v>
      </c>
      <c r="H1347" s="15" t="s">
        <v>72</v>
      </c>
      <c r="I1347" s="16">
        <v>22143</v>
      </c>
      <c r="J1347" s="16">
        <v>18379</v>
      </c>
      <c r="K1347" s="16">
        <v>21735</v>
      </c>
      <c r="L1347" s="17">
        <v>222.5</v>
      </c>
      <c r="M1347" s="17">
        <v>15.3</v>
      </c>
      <c r="N1347" s="17">
        <f t="shared" si="60"/>
        <v>207.2</v>
      </c>
      <c r="O1347" s="17">
        <v>161.80000000000001</v>
      </c>
      <c r="P1347" s="17">
        <v>201.7</v>
      </c>
      <c r="Q1347" s="17">
        <v>129.5</v>
      </c>
      <c r="R1347" s="17">
        <f t="shared" si="61"/>
        <v>77.699999999999989</v>
      </c>
      <c r="S1347" s="17">
        <v>103.4</v>
      </c>
      <c r="T1347" s="17">
        <f t="shared" si="62"/>
        <v>58.400000000000006</v>
      </c>
    </row>
    <row r="1348" spans="1:20" x14ac:dyDescent="0.35">
      <c r="A1348" s="14" t="s">
        <v>103</v>
      </c>
      <c r="B1348" s="15" t="s">
        <v>104</v>
      </c>
      <c r="C1348" s="15" t="s">
        <v>64</v>
      </c>
      <c r="D1348" s="15" t="s">
        <v>99</v>
      </c>
      <c r="E1348" s="15" t="s">
        <v>89</v>
      </c>
      <c r="F1348" s="15" t="s">
        <v>67</v>
      </c>
      <c r="G1348" s="15" t="s">
        <v>74</v>
      </c>
      <c r="H1348" s="15" t="s">
        <v>70</v>
      </c>
      <c r="I1348" s="16">
        <v>141088</v>
      </c>
      <c r="J1348" s="16">
        <v>127760</v>
      </c>
      <c r="K1348" s="16">
        <v>138558</v>
      </c>
      <c r="L1348" s="17">
        <v>781.6</v>
      </c>
      <c r="M1348" s="17">
        <v>47.3</v>
      </c>
      <c r="N1348" s="17">
        <f t="shared" ref="N1348:N1411" si="63">L1348-M1348</f>
        <v>734.30000000000007</v>
      </c>
      <c r="O1348" s="17">
        <v>629.6</v>
      </c>
      <c r="P1348" s="17">
        <v>712.4</v>
      </c>
      <c r="Q1348" s="17">
        <v>416.5</v>
      </c>
      <c r="R1348" s="17">
        <f t="shared" ref="R1348:R1411" si="64">N1348-Q1348</f>
        <v>317.80000000000007</v>
      </c>
      <c r="S1348" s="17">
        <v>366.2</v>
      </c>
      <c r="T1348" s="17">
        <f t="shared" ref="T1348:T1411" si="65">O1348-S1348</f>
        <v>263.40000000000003</v>
      </c>
    </row>
    <row r="1349" spans="1:20" x14ac:dyDescent="0.35">
      <c r="A1349" s="14" t="s">
        <v>103</v>
      </c>
      <c r="B1349" s="15" t="s">
        <v>104</v>
      </c>
      <c r="C1349" s="15" t="s">
        <v>64</v>
      </c>
      <c r="D1349" s="15" t="s">
        <v>99</v>
      </c>
      <c r="E1349" s="15" t="s">
        <v>89</v>
      </c>
      <c r="F1349" s="15" t="s">
        <v>67</v>
      </c>
      <c r="G1349" s="15" t="s">
        <v>74</v>
      </c>
      <c r="H1349" s="15" t="s">
        <v>71</v>
      </c>
      <c r="I1349" s="16">
        <v>133953</v>
      </c>
      <c r="J1349" s="16">
        <v>121346</v>
      </c>
      <c r="K1349" s="16">
        <v>131336</v>
      </c>
      <c r="L1349" s="17">
        <v>937.8</v>
      </c>
      <c r="M1349" s="17">
        <v>61.6</v>
      </c>
      <c r="N1349" s="17">
        <f t="shared" si="63"/>
        <v>876.19999999999993</v>
      </c>
      <c r="O1349" s="17">
        <v>755.7</v>
      </c>
      <c r="P1349" s="17">
        <v>854.6</v>
      </c>
      <c r="Q1349" s="17">
        <v>554.4</v>
      </c>
      <c r="R1349" s="17">
        <f t="shared" si="64"/>
        <v>321.79999999999995</v>
      </c>
      <c r="S1349" s="17">
        <v>481.6</v>
      </c>
      <c r="T1349" s="17">
        <f t="shared" si="65"/>
        <v>274.10000000000002</v>
      </c>
    </row>
    <row r="1350" spans="1:20" x14ac:dyDescent="0.35">
      <c r="A1350" s="14" t="s">
        <v>103</v>
      </c>
      <c r="B1350" s="15" t="s">
        <v>104</v>
      </c>
      <c r="C1350" s="15" t="s">
        <v>64</v>
      </c>
      <c r="D1350" s="15" t="s">
        <v>99</v>
      </c>
      <c r="E1350" s="15" t="s">
        <v>89</v>
      </c>
      <c r="F1350" s="15" t="s">
        <v>67</v>
      </c>
      <c r="G1350" s="15" t="s">
        <v>75</v>
      </c>
      <c r="H1350" s="15" t="s">
        <v>71</v>
      </c>
      <c r="I1350" s="16">
        <v>107813</v>
      </c>
      <c r="J1350" s="16">
        <v>98468</v>
      </c>
      <c r="K1350" s="16">
        <v>106121</v>
      </c>
      <c r="L1350" s="17">
        <v>779.5</v>
      </c>
      <c r="M1350" s="17">
        <v>53.7</v>
      </c>
      <c r="N1350" s="17">
        <f t="shared" si="63"/>
        <v>725.8</v>
      </c>
      <c r="O1350" s="17">
        <v>620.29999999999995</v>
      </c>
      <c r="P1350" s="17">
        <v>708.2</v>
      </c>
      <c r="Q1350" s="17">
        <v>441.9</v>
      </c>
      <c r="R1350" s="17">
        <f t="shared" si="64"/>
        <v>283.89999999999998</v>
      </c>
      <c r="S1350" s="17">
        <v>385.6</v>
      </c>
      <c r="T1350" s="17">
        <f t="shared" si="65"/>
        <v>234.69999999999993</v>
      </c>
    </row>
    <row r="1351" spans="1:20" x14ac:dyDescent="0.35">
      <c r="A1351" s="14" t="s">
        <v>103</v>
      </c>
      <c r="B1351" s="15" t="s">
        <v>104</v>
      </c>
      <c r="C1351" s="15" t="s">
        <v>64</v>
      </c>
      <c r="D1351" s="15" t="s">
        <v>99</v>
      </c>
      <c r="E1351" s="15" t="s">
        <v>89</v>
      </c>
      <c r="F1351" s="15" t="s">
        <v>67</v>
      </c>
      <c r="G1351" s="15" t="s">
        <v>76</v>
      </c>
      <c r="H1351" s="15" t="s">
        <v>72</v>
      </c>
      <c r="I1351" s="16">
        <v>17613</v>
      </c>
      <c r="J1351" s="16">
        <v>15822</v>
      </c>
      <c r="K1351" s="16">
        <v>17308</v>
      </c>
      <c r="L1351" s="17">
        <v>209.9</v>
      </c>
      <c r="M1351" s="17">
        <v>13.3</v>
      </c>
      <c r="N1351" s="17">
        <f t="shared" si="63"/>
        <v>196.6</v>
      </c>
      <c r="O1351" s="17">
        <v>166.8</v>
      </c>
      <c r="P1351" s="17">
        <v>191.5</v>
      </c>
      <c r="Q1351" s="17">
        <v>119.2</v>
      </c>
      <c r="R1351" s="17">
        <f t="shared" si="64"/>
        <v>77.399999999999991</v>
      </c>
      <c r="S1351" s="17">
        <v>103.2</v>
      </c>
      <c r="T1351" s="17">
        <f t="shared" si="65"/>
        <v>63.600000000000009</v>
      </c>
    </row>
    <row r="1352" spans="1:20" x14ac:dyDescent="0.35">
      <c r="A1352" s="14" t="s">
        <v>103</v>
      </c>
      <c r="B1352" s="15" t="s">
        <v>104</v>
      </c>
      <c r="C1352" s="15" t="s">
        <v>64</v>
      </c>
      <c r="D1352" s="15" t="s">
        <v>99</v>
      </c>
      <c r="E1352" s="15" t="s">
        <v>89</v>
      </c>
      <c r="F1352" s="15" t="s">
        <v>79</v>
      </c>
      <c r="G1352" s="15" t="s">
        <v>80</v>
      </c>
      <c r="H1352" s="15" t="s">
        <v>71</v>
      </c>
      <c r="I1352" s="16">
        <v>108038</v>
      </c>
      <c r="J1352" s="16">
        <v>96172</v>
      </c>
      <c r="K1352" s="16">
        <v>106220</v>
      </c>
      <c r="L1352" s="17">
        <v>477.1</v>
      </c>
      <c r="M1352" s="17">
        <v>34.4</v>
      </c>
      <c r="N1352" s="17">
        <f t="shared" si="63"/>
        <v>442.70000000000005</v>
      </c>
      <c r="O1352" s="17">
        <v>374.7</v>
      </c>
      <c r="P1352" s="17">
        <v>429</v>
      </c>
      <c r="Q1352" s="17">
        <v>266.60000000000002</v>
      </c>
      <c r="R1352" s="17">
        <f t="shared" si="64"/>
        <v>176.10000000000002</v>
      </c>
      <c r="S1352" s="17">
        <v>227.4</v>
      </c>
      <c r="T1352" s="17">
        <f t="shared" si="65"/>
        <v>147.29999999999998</v>
      </c>
    </row>
    <row r="1353" spans="1:20" x14ac:dyDescent="0.35">
      <c r="A1353" s="14" t="s">
        <v>103</v>
      </c>
      <c r="B1353" s="15" t="s">
        <v>104</v>
      </c>
      <c r="C1353" s="15" t="s">
        <v>64</v>
      </c>
      <c r="D1353" s="15" t="s">
        <v>99</v>
      </c>
      <c r="E1353" s="15" t="s">
        <v>89</v>
      </c>
      <c r="F1353" s="15" t="s">
        <v>81</v>
      </c>
      <c r="G1353" s="15" t="s">
        <v>82</v>
      </c>
      <c r="H1353" s="15" t="s">
        <v>71</v>
      </c>
      <c r="I1353" s="16">
        <v>35710</v>
      </c>
      <c r="J1353" s="16">
        <v>31252</v>
      </c>
      <c r="K1353" s="16">
        <v>34870</v>
      </c>
      <c r="L1353" s="17">
        <v>337.1</v>
      </c>
      <c r="M1353" s="17">
        <v>26.8</v>
      </c>
      <c r="N1353" s="17">
        <f t="shared" si="63"/>
        <v>310.3</v>
      </c>
      <c r="O1353" s="17">
        <v>255.5</v>
      </c>
      <c r="P1353" s="17">
        <v>298.89999999999998</v>
      </c>
      <c r="Q1353" s="17">
        <v>187.7</v>
      </c>
      <c r="R1353" s="17">
        <f t="shared" si="64"/>
        <v>122.60000000000002</v>
      </c>
      <c r="S1353" s="17">
        <v>157.30000000000001</v>
      </c>
      <c r="T1353" s="17">
        <f t="shared" si="65"/>
        <v>98.199999999999989</v>
      </c>
    </row>
    <row r="1354" spans="1:20" x14ac:dyDescent="0.35">
      <c r="A1354" s="14" t="s">
        <v>103</v>
      </c>
      <c r="B1354" s="15" t="s">
        <v>104</v>
      </c>
      <c r="C1354" s="15" t="s">
        <v>64</v>
      </c>
      <c r="D1354" s="15" t="s">
        <v>99</v>
      </c>
      <c r="E1354" s="15" t="s">
        <v>89</v>
      </c>
      <c r="F1354" s="15" t="s">
        <v>83</v>
      </c>
      <c r="G1354" s="15" t="s">
        <v>84</v>
      </c>
      <c r="H1354" s="15" t="s">
        <v>72</v>
      </c>
      <c r="I1354" s="16">
        <v>13280</v>
      </c>
      <c r="J1354" s="16">
        <v>10536</v>
      </c>
      <c r="K1354" s="16">
        <v>13104</v>
      </c>
      <c r="L1354" s="17">
        <v>382.9</v>
      </c>
      <c r="M1354" s="17">
        <v>27.8</v>
      </c>
      <c r="N1354" s="17">
        <f t="shared" si="63"/>
        <v>355.09999999999997</v>
      </c>
      <c r="O1354" s="17">
        <v>264.3</v>
      </c>
      <c r="P1354" s="17">
        <v>345.9</v>
      </c>
      <c r="Q1354" s="17">
        <v>203.4</v>
      </c>
      <c r="R1354" s="17">
        <f t="shared" si="64"/>
        <v>151.69999999999996</v>
      </c>
      <c r="S1354" s="17">
        <v>152.6</v>
      </c>
      <c r="T1354" s="17">
        <f t="shared" si="65"/>
        <v>111.70000000000002</v>
      </c>
    </row>
    <row r="1355" spans="1:20" x14ac:dyDescent="0.35">
      <c r="A1355" s="14" t="s">
        <v>103</v>
      </c>
      <c r="B1355" s="15" t="s">
        <v>104</v>
      </c>
      <c r="C1355" s="15" t="s">
        <v>64</v>
      </c>
      <c r="D1355" s="15" t="s">
        <v>99</v>
      </c>
      <c r="E1355" s="15" t="s">
        <v>90</v>
      </c>
      <c r="F1355" s="15" t="s">
        <v>67</v>
      </c>
      <c r="G1355" s="15" t="s">
        <v>68</v>
      </c>
      <c r="H1355" s="15" t="s">
        <v>69</v>
      </c>
      <c r="I1355" s="16">
        <v>110999</v>
      </c>
      <c r="J1355" s="16">
        <v>104781</v>
      </c>
      <c r="K1355" s="16">
        <v>109422</v>
      </c>
      <c r="L1355" s="17">
        <v>511.4</v>
      </c>
      <c r="M1355" s="17">
        <v>54.4</v>
      </c>
      <c r="N1355" s="17">
        <f t="shared" si="63"/>
        <v>457</v>
      </c>
      <c r="O1355" s="17">
        <v>407.8</v>
      </c>
      <c r="P1355" s="17">
        <v>443.1</v>
      </c>
      <c r="Q1355" s="17">
        <v>255.9</v>
      </c>
      <c r="R1355" s="17">
        <f t="shared" si="64"/>
        <v>201.1</v>
      </c>
      <c r="S1355" s="17">
        <v>230.8</v>
      </c>
      <c r="T1355" s="17">
        <f t="shared" si="65"/>
        <v>177</v>
      </c>
    </row>
    <row r="1356" spans="1:20" x14ac:dyDescent="0.35">
      <c r="A1356" s="14" t="s">
        <v>103</v>
      </c>
      <c r="B1356" s="15" t="s">
        <v>104</v>
      </c>
      <c r="C1356" s="15" t="s">
        <v>64</v>
      </c>
      <c r="D1356" s="15" t="s">
        <v>99</v>
      </c>
      <c r="E1356" s="15" t="s">
        <v>90</v>
      </c>
      <c r="F1356" s="15" t="s">
        <v>67</v>
      </c>
      <c r="G1356" s="15" t="s">
        <v>68</v>
      </c>
      <c r="H1356" s="15" t="s">
        <v>70</v>
      </c>
      <c r="I1356" s="16">
        <v>136039</v>
      </c>
      <c r="J1356" s="16">
        <v>123253</v>
      </c>
      <c r="K1356" s="16">
        <v>132838</v>
      </c>
      <c r="L1356" s="17">
        <v>744.5</v>
      </c>
      <c r="M1356" s="17">
        <v>87.4</v>
      </c>
      <c r="N1356" s="17">
        <f t="shared" si="63"/>
        <v>657.1</v>
      </c>
      <c r="O1356" s="17">
        <v>565</v>
      </c>
      <c r="P1356" s="17">
        <v>642.1</v>
      </c>
      <c r="Q1356" s="17">
        <v>370.5</v>
      </c>
      <c r="R1356" s="17">
        <f t="shared" si="64"/>
        <v>286.60000000000002</v>
      </c>
      <c r="S1356" s="17">
        <v>323.8</v>
      </c>
      <c r="T1356" s="17">
        <f t="shared" si="65"/>
        <v>241.2</v>
      </c>
    </row>
    <row r="1357" spans="1:20" x14ac:dyDescent="0.35">
      <c r="A1357" s="14" t="s">
        <v>103</v>
      </c>
      <c r="B1357" s="15" t="s">
        <v>104</v>
      </c>
      <c r="C1357" s="15" t="s">
        <v>64</v>
      </c>
      <c r="D1357" s="15" t="s">
        <v>99</v>
      </c>
      <c r="E1357" s="15" t="s">
        <v>90</v>
      </c>
      <c r="F1357" s="15" t="s">
        <v>67</v>
      </c>
      <c r="G1357" s="15" t="s">
        <v>68</v>
      </c>
      <c r="H1357" s="15" t="s">
        <v>71</v>
      </c>
      <c r="I1357" s="16">
        <v>172606</v>
      </c>
      <c r="J1357" s="16">
        <v>160426</v>
      </c>
      <c r="K1357" s="16">
        <v>168966</v>
      </c>
      <c r="L1357" s="17">
        <v>1161.2</v>
      </c>
      <c r="M1357" s="17">
        <v>130.5</v>
      </c>
      <c r="N1357" s="17">
        <f t="shared" si="63"/>
        <v>1030.7</v>
      </c>
      <c r="O1357" s="17">
        <v>904.3</v>
      </c>
      <c r="P1357" s="17">
        <v>1004.1</v>
      </c>
      <c r="Q1357" s="17">
        <v>624.79999999999995</v>
      </c>
      <c r="R1357" s="17">
        <f t="shared" si="64"/>
        <v>405.90000000000009</v>
      </c>
      <c r="S1357" s="17">
        <v>561.6</v>
      </c>
      <c r="T1357" s="17">
        <f t="shared" si="65"/>
        <v>342.69999999999993</v>
      </c>
    </row>
    <row r="1358" spans="1:20" x14ac:dyDescent="0.35">
      <c r="A1358" s="14" t="s">
        <v>103</v>
      </c>
      <c r="B1358" s="15" t="s">
        <v>104</v>
      </c>
      <c r="C1358" s="15" t="s">
        <v>64</v>
      </c>
      <c r="D1358" s="15" t="s">
        <v>99</v>
      </c>
      <c r="E1358" s="15" t="s">
        <v>90</v>
      </c>
      <c r="F1358" s="15" t="s">
        <v>67</v>
      </c>
      <c r="G1358" s="15" t="s">
        <v>68</v>
      </c>
      <c r="H1358" s="15" t="s">
        <v>72</v>
      </c>
      <c r="I1358" s="16">
        <v>55508</v>
      </c>
      <c r="J1358" s="16">
        <v>50263</v>
      </c>
      <c r="K1358" s="16">
        <v>54165</v>
      </c>
      <c r="L1358" s="17">
        <v>499.7</v>
      </c>
      <c r="M1358" s="17">
        <v>55.4</v>
      </c>
      <c r="N1358" s="17">
        <f t="shared" si="63"/>
        <v>444.3</v>
      </c>
      <c r="O1358" s="17">
        <v>378.1</v>
      </c>
      <c r="P1358" s="17">
        <v>427.9</v>
      </c>
      <c r="Q1358" s="17">
        <v>281</v>
      </c>
      <c r="R1358" s="17">
        <f t="shared" si="64"/>
        <v>163.30000000000001</v>
      </c>
      <c r="S1358" s="17">
        <v>241.8</v>
      </c>
      <c r="T1358" s="17">
        <f t="shared" si="65"/>
        <v>136.30000000000001</v>
      </c>
    </row>
    <row r="1359" spans="1:20" x14ac:dyDescent="0.35">
      <c r="A1359" s="14" t="s">
        <v>103</v>
      </c>
      <c r="B1359" s="15" t="s">
        <v>104</v>
      </c>
      <c r="C1359" s="15" t="s">
        <v>64</v>
      </c>
      <c r="D1359" s="15" t="s">
        <v>99</v>
      </c>
      <c r="E1359" s="15" t="s">
        <v>90</v>
      </c>
      <c r="F1359" s="15" t="s">
        <v>67</v>
      </c>
      <c r="G1359" s="15" t="s">
        <v>73</v>
      </c>
      <c r="H1359" s="15" t="s">
        <v>71</v>
      </c>
      <c r="I1359" s="16">
        <v>45190</v>
      </c>
      <c r="J1359" s="16">
        <v>38669</v>
      </c>
      <c r="K1359" s="16">
        <v>44646</v>
      </c>
      <c r="L1359" s="17">
        <v>307.2</v>
      </c>
      <c r="M1359" s="17">
        <v>35.4</v>
      </c>
      <c r="N1359" s="17">
        <f t="shared" si="63"/>
        <v>271.8</v>
      </c>
      <c r="O1359" s="17">
        <v>219.2</v>
      </c>
      <c r="P1359" s="17">
        <v>261.60000000000002</v>
      </c>
      <c r="Q1359" s="17">
        <v>171.2</v>
      </c>
      <c r="R1359" s="17">
        <f t="shared" si="64"/>
        <v>100.60000000000002</v>
      </c>
      <c r="S1359" s="17">
        <v>140.80000000000001</v>
      </c>
      <c r="T1359" s="17">
        <f t="shared" si="65"/>
        <v>78.399999999999977</v>
      </c>
    </row>
    <row r="1360" spans="1:20" x14ac:dyDescent="0.35">
      <c r="A1360" s="14" t="s">
        <v>103</v>
      </c>
      <c r="B1360" s="15" t="s">
        <v>104</v>
      </c>
      <c r="C1360" s="15" t="s">
        <v>64</v>
      </c>
      <c r="D1360" s="15" t="s">
        <v>99</v>
      </c>
      <c r="E1360" s="15" t="s">
        <v>90</v>
      </c>
      <c r="F1360" s="15" t="s">
        <v>67</v>
      </c>
      <c r="G1360" s="15" t="s">
        <v>73</v>
      </c>
      <c r="H1360" s="15" t="s">
        <v>72</v>
      </c>
      <c r="I1360" s="16">
        <v>15779</v>
      </c>
      <c r="J1360" s="16">
        <v>13304</v>
      </c>
      <c r="K1360" s="16">
        <v>15506</v>
      </c>
      <c r="L1360" s="17">
        <v>141.80000000000001</v>
      </c>
      <c r="M1360" s="17">
        <v>16.399999999999999</v>
      </c>
      <c r="N1360" s="17">
        <f t="shared" si="63"/>
        <v>125.4</v>
      </c>
      <c r="O1360" s="17">
        <v>99.3</v>
      </c>
      <c r="P1360" s="17">
        <v>122.1</v>
      </c>
      <c r="Q1360" s="17">
        <v>78.400000000000006</v>
      </c>
      <c r="R1360" s="17">
        <f t="shared" si="64"/>
        <v>47</v>
      </c>
      <c r="S1360" s="17">
        <v>63.1</v>
      </c>
      <c r="T1360" s="17">
        <f t="shared" si="65"/>
        <v>36.199999999999996</v>
      </c>
    </row>
    <row r="1361" spans="1:20" x14ac:dyDescent="0.35">
      <c r="A1361" s="14" t="s">
        <v>103</v>
      </c>
      <c r="B1361" s="15" t="s">
        <v>104</v>
      </c>
      <c r="C1361" s="15" t="s">
        <v>64</v>
      </c>
      <c r="D1361" s="15" t="s">
        <v>99</v>
      </c>
      <c r="E1361" s="15" t="s">
        <v>90</v>
      </c>
      <c r="F1361" s="15" t="s">
        <v>67</v>
      </c>
      <c r="G1361" s="15" t="s">
        <v>74</v>
      </c>
      <c r="H1361" s="15" t="s">
        <v>70</v>
      </c>
      <c r="I1361" s="16">
        <v>54894</v>
      </c>
      <c r="J1361" s="16">
        <v>50160</v>
      </c>
      <c r="K1361" s="16">
        <v>54227</v>
      </c>
      <c r="L1361" s="17">
        <v>287.10000000000002</v>
      </c>
      <c r="M1361" s="17">
        <v>29</v>
      </c>
      <c r="N1361" s="17">
        <f t="shared" si="63"/>
        <v>258.10000000000002</v>
      </c>
      <c r="O1361" s="17">
        <v>221.6</v>
      </c>
      <c r="P1361" s="17">
        <v>250.2</v>
      </c>
      <c r="Q1361" s="17">
        <v>149.1</v>
      </c>
      <c r="R1361" s="17">
        <f t="shared" si="64"/>
        <v>109.00000000000003</v>
      </c>
      <c r="S1361" s="17">
        <v>130.1</v>
      </c>
      <c r="T1361" s="17">
        <f t="shared" si="65"/>
        <v>91.5</v>
      </c>
    </row>
    <row r="1362" spans="1:20" x14ac:dyDescent="0.35">
      <c r="A1362" s="14" t="s">
        <v>103</v>
      </c>
      <c r="B1362" s="15" t="s">
        <v>104</v>
      </c>
      <c r="C1362" s="15" t="s">
        <v>64</v>
      </c>
      <c r="D1362" s="15" t="s">
        <v>99</v>
      </c>
      <c r="E1362" s="15" t="s">
        <v>90</v>
      </c>
      <c r="F1362" s="15" t="s">
        <v>67</v>
      </c>
      <c r="G1362" s="15" t="s">
        <v>74</v>
      </c>
      <c r="H1362" s="15" t="s">
        <v>71</v>
      </c>
      <c r="I1362" s="16">
        <v>70924</v>
      </c>
      <c r="J1362" s="16">
        <v>66203</v>
      </c>
      <c r="K1362" s="16">
        <v>69346</v>
      </c>
      <c r="L1362" s="17">
        <v>453.9</v>
      </c>
      <c r="M1362" s="17">
        <v>46.9</v>
      </c>
      <c r="N1362" s="17">
        <f t="shared" si="63"/>
        <v>407</v>
      </c>
      <c r="O1362" s="17">
        <v>359.9</v>
      </c>
      <c r="P1362" s="17">
        <v>398.5</v>
      </c>
      <c r="Q1362" s="17">
        <v>252</v>
      </c>
      <c r="R1362" s="17">
        <f t="shared" si="64"/>
        <v>155</v>
      </c>
      <c r="S1362" s="17">
        <v>226</v>
      </c>
      <c r="T1362" s="17">
        <f t="shared" si="65"/>
        <v>133.89999999999998</v>
      </c>
    </row>
    <row r="1363" spans="1:20" x14ac:dyDescent="0.35">
      <c r="A1363" s="14" t="s">
        <v>103</v>
      </c>
      <c r="B1363" s="15" t="s">
        <v>104</v>
      </c>
      <c r="C1363" s="15" t="s">
        <v>64</v>
      </c>
      <c r="D1363" s="15" t="s">
        <v>99</v>
      </c>
      <c r="E1363" s="15" t="s">
        <v>90</v>
      </c>
      <c r="F1363" s="15" t="s">
        <v>67</v>
      </c>
      <c r="G1363" s="15" t="s">
        <v>75</v>
      </c>
      <c r="H1363" s="15" t="s">
        <v>71</v>
      </c>
      <c r="I1363" s="16">
        <v>61275</v>
      </c>
      <c r="J1363" s="16">
        <v>57020</v>
      </c>
      <c r="K1363" s="16">
        <v>60193</v>
      </c>
      <c r="L1363" s="17">
        <v>407</v>
      </c>
      <c r="M1363" s="17">
        <v>48.2</v>
      </c>
      <c r="N1363" s="17">
        <f t="shared" si="63"/>
        <v>358.8</v>
      </c>
      <c r="O1363" s="17">
        <v>315.89999999999998</v>
      </c>
      <c r="P1363" s="17">
        <v>348.6</v>
      </c>
      <c r="Q1363" s="17">
        <v>225.4</v>
      </c>
      <c r="R1363" s="17">
        <f t="shared" si="64"/>
        <v>133.4</v>
      </c>
      <c r="S1363" s="17">
        <v>200.8</v>
      </c>
      <c r="T1363" s="17">
        <f t="shared" si="65"/>
        <v>115.09999999999997</v>
      </c>
    </row>
    <row r="1364" spans="1:20" x14ac:dyDescent="0.35">
      <c r="A1364" s="14" t="s">
        <v>103</v>
      </c>
      <c r="B1364" s="15" t="s">
        <v>104</v>
      </c>
      <c r="C1364" s="15" t="s">
        <v>64</v>
      </c>
      <c r="D1364" s="15" t="s">
        <v>99</v>
      </c>
      <c r="E1364" s="15" t="s">
        <v>90</v>
      </c>
      <c r="F1364" s="15" t="s">
        <v>67</v>
      </c>
      <c r="G1364" s="15" t="s">
        <v>76</v>
      </c>
      <c r="H1364" s="15" t="s">
        <v>72</v>
      </c>
      <c r="I1364" s="16">
        <v>11654</v>
      </c>
      <c r="J1364" s="16">
        <v>10510</v>
      </c>
      <c r="K1364" s="16">
        <v>11438</v>
      </c>
      <c r="L1364" s="17">
        <v>128.30000000000001</v>
      </c>
      <c r="M1364" s="17">
        <v>14.5</v>
      </c>
      <c r="N1364" s="17">
        <f t="shared" si="63"/>
        <v>113.80000000000001</v>
      </c>
      <c r="O1364" s="17">
        <v>96.8</v>
      </c>
      <c r="P1364" s="17">
        <v>110.2</v>
      </c>
      <c r="Q1364" s="17">
        <v>69</v>
      </c>
      <c r="R1364" s="17">
        <f t="shared" si="64"/>
        <v>44.800000000000011</v>
      </c>
      <c r="S1364" s="17">
        <v>59.3</v>
      </c>
      <c r="T1364" s="17">
        <f t="shared" si="65"/>
        <v>37.5</v>
      </c>
    </row>
    <row r="1365" spans="1:20" x14ac:dyDescent="0.35">
      <c r="A1365" s="14" t="s">
        <v>103</v>
      </c>
      <c r="B1365" s="15" t="s">
        <v>104</v>
      </c>
      <c r="C1365" s="15" t="s">
        <v>64</v>
      </c>
      <c r="D1365" s="15" t="s">
        <v>99</v>
      </c>
      <c r="E1365" s="15" t="s">
        <v>90</v>
      </c>
      <c r="F1365" s="15" t="s">
        <v>79</v>
      </c>
      <c r="G1365" s="15" t="s">
        <v>80</v>
      </c>
      <c r="H1365" s="15" t="s">
        <v>71</v>
      </c>
      <c r="I1365" s="16">
        <v>61761</v>
      </c>
      <c r="J1365" s="16">
        <v>56603</v>
      </c>
      <c r="K1365" s="16">
        <v>60966</v>
      </c>
      <c r="L1365" s="17">
        <v>257.5</v>
      </c>
      <c r="M1365" s="17">
        <v>27.9</v>
      </c>
      <c r="N1365" s="17">
        <f t="shared" si="63"/>
        <v>229.6</v>
      </c>
      <c r="O1365" s="17">
        <v>199.5</v>
      </c>
      <c r="P1365" s="17">
        <v>222.1</v>
      </c>
      <c r="Q1365" s="17">
        <v>137</v>
      </c>
      <c r="R1365" s="17">
        <f t="shared" si="64"/>
        <v>92.6</v>
      </c>
      <c r="S1365" s="17">
        <v>119.8</v>
      </c>
      <c r="T1365" s="17">
        <f t="shared" si="65"/>
        <v>79.7</v>
      </c>
    </row>
    <row r="1366" spans="1:20" x14ac:dyDescent="0.35">
      <c r="A1366" s="14" t="s">
        <v>103</v>
      </c>
      <c r="B1366" s="15" t="s">
        <v>104</v>
      </c>
      <c r="C1366" s="15" t="s">
        <v>64</v>
      </c>
      <c r="D1366" s="15" t="s">
        <v>99</v>
      </c>
      <c r="E1366" s="15" t="s">
        <v>90</v>
      </c>
      <c r="F1366" s="15" t="s">
        <v>81</v>
      </c>
      <c r="G1366" s="15" t="s">
        <v>82</v>
      </c>
      <c r="H1366" s="15" t="s">
        <v>71</v>
      </c>
      <c r="I1366" s="16">
        <v>18575</v>
      </c>
      <c r="J1366" s="16">
        <v>16759</v>
      </c>
      <c r="K1366" s="16">
        <v>18108</v>
      </c>
      <c r="L1366" s="17">
        <v>160.4</v>
      </c>
      <c r="M1366" s="17">
        <v>18.5</v>
      </c>
      <c r="N1366" s="17">
        <f t="shared" si="63"/>
        <v>141.9</v>
      </c>
      <c r="O1366" s="17">
        <v>119.8</v>
      </c>
      <c r="P1366" s="17">
        <v>138</v>
      </c>
      <c r="Q1366" s="17">
        <v>88.1</v>
      </c>
      <c r="R1366" s="17">
        <f t="shared" si="64"/>
        <v>53.800000000000011</v>
      </c>
      <c r="S1366" s="17">
        <v>75.599999999999994</v>
      </c>
      <c r="T1366" s="17">
        <f t="shared" si="65"/>
        <v>44.2</v>
      </c>
    </row>
    <row r="1367" spans="1:20" x14ac:dyDescent="0.35">
      <c r="A1367" s="14" t="s">
        <v>103</v>
      </c>
      <c r="B1367" s="15" t="s">
        <v>104</v>
      </c>
      <c r="C1367" s="15" t="s">
        <v>64</v>
      </c>
      <c r="D1367" s="15" t="s">
        <v>99</v>
      </c>
      <c r="E1367" s="15" t="s">
        <v>90</v>
      </c>
      <c r="F1367" s="15" t="s">
        <v>83</v>
      </c>
      <c r="G1367" s="15" t="s">
        <v>84</v>
      </c>
      <c r="H1367" s="15" t="s">
        <v>72</v>
      </c>
      <c r="I1367" s="16">
        <v>9726</v>
      </c>
      <c r="J1367" s="16">
        <v>7781</v>
      </c>
      <c r="K1367" s="16">
        <v>9574</v>
      </c>
      <c r="L1367" s="17">
        <v>265.89999999999998</v>
      </c>
      <c r="M1367" s="17">
        <v>28.9</v>
      </c>
      <c r="N1367" s="17">
        <f t="shared" si="63"/>
        <v>236.99999999999997</v>
      </c>
      <c r="O1367" s="17">
        <v>178.4</v>
      </c>
      <c r="P1367" s="17">
        <v>231.2</v>
      </c>
      <c r="Q1367" s="17">
        <v>140.9</v>
      </c>
      <c r="R1367" s="17">
        <f t="shared" si="64"/>
        <v>96.099999999999966</v>
      </c>
      <c r="S1367" s="17">
        <v>108.7</v>
      </c>
      <c r="T1367" s="17">
        <f t="shared" si="65"/>
        <v>69.7</v>
      </c>
    </row>
    <row r="1368" spans="1:20" x14ac:dyDescent="0.35">
      <c r="A1368" s="14" t="s">
        <v>103</v>
      </c>
      <c r="B1368" s="15" t="s">
        <v>104</v>
      </c>
      <c r="C1368" s="15" t="s">
        <v>64</v>
      </c>
      <c r="D1368" s="15" t="s">
        <v>99</v>
      </c>
      <c r="E1368" s="15" t="s">
        <v>91</v>
      </c>
      <c r="F1368" s="15" t="s">
        <v>67</v>
      </c>
      <c r="G1368" s="15" t="s">
        <v>68</v>
      </c>
      <c r="H1368" s="15" t="s">
        <v>69</v>
      </c>
      <c r="I1368" s="16">
        <v>79932</v>
      </c>
      <c r="J1368" s="16">
        <v>72491</v>
      </c>
      <c r="K1368" s="16">
        <v>78880</v>
      </c>
      <c r="L1368" s="17">
        <v>424.7</v>
      </c>
      <c r="M1368" s="17">
        <v>24.3</v>
      </c>
      <c r="N1368" s="17">
        <f t="shared" si="63"/>
        <v>400.4</v>
      </c>
      <c r="O1368" s="17">
        <v>341.7</v>
      </c>
      <c r="P1368" s="17">
        <v>385.4</v>
      </c>
      <c r="Q1368" s="17">
        <v>225.9</v>
      </c>
      <c r="R1368" s="17">
        <f t="shared" si="64"/>
        <v>174.49999999999997</v>
      </c>
      <c r="S1368" s="17">
        <v>195.8</v>
      </c>
      <c r="T1368" s="17">
        <f t="shared" si="65"/>
        <v>145.89999999999998</v>
      </c>
    </row>
    <row r="1369" spans="1:20" x14ac:dyDescent="0.35">
      <c r="A1369" s="14" t="s">
        <v>103</v>
      </c>
      <c r="B1369" s="15" t="s">
        <v>104</v>
      </c>
      <c r="C1369" s="15" t="s">
        <v>64</v>
      </c>
      <c r="D1369" s="15" t="s">
        <v>99</v>
      </c>
      <c r="E1369" s="15" t="s">
        <v>91</v>
      </c>
      <c r="F1369" s="15" t="s">
        <v>67</v>
      </c>
      <c r="G1369" s="15" t="s">
        <v>68</v>
      </c>
      <c r="H1369" s="15" t="s">
        <v>70</v>
      </c>
      <c r="I1369" s="16">
        <v>31605</v>
      </c>
      <c r="J1369" s="16">
        <v>28159</v>
      </c>
      <c r="K1369" s="16">
        <v>30915</v>
      </c>
      <c r="L1369" s="17">
        <v>194.5</v>
      </c>
      <c r="M1369" s="17">
        <v>8.6999999999999993</v>
      </c>
      <c r="N1369" s="17">
        <f t="shared" si="63"/>
        <v>185.8</v>
      </c>
      <c r="O1369" s="17">
        <v>155.4</v>
      </c>
      <c r="P1369" s="17">
        <v>178.9</v>
      </c>
      <c r="Q1369" s="17">
        <v>105.2</v>
      </c>
      <c r="R1369" s="17">
        <f t="shared" si="64"/>
        <v>80.600000000000009</v>
      </c>
      <c r="S1369" s="17">
        <v>89.8</v>
      </c>
      <c r="T1369" s="17">
        <f t="shared" si="65"/>
        <v>65.600000000000009</v>
      </c>
    </row>
    <row r="1370" spans="1:20" x14ac:dyDescent="0.35">
      <c r="A1370" s="14" t="s">
        <v>103</v>
      </c>
      <c r="B1370" s="15" t="s">
        <v>104</v>
      </c>
      <c r="C1370" s="15" t="s">
        <v>64</v>
      </c>
      <c r="D1370" s="15" t="s">
        <v>99</v>
      </c>
      <c r="E1370" s="15" t="s">
        <v>91</v>
      </c>
      <c r="F1370" s="15" t="s">
        <v>67</v>
      </c>
      <c r="G1370" s="15" t="s">
        <v>68</v>
      </c>
      <c r="H1370" s="15" t="s">
        <v>71</v>
      </c>
      <c r="I1370" s="16">
        <v>61024</v>
      </c>
      <c r="J1370" s="16">
        <v>55323</v>
      </c>
      <c r="K1370" s="16">
        <v>59395</v>
      </c>
      <c r="L1370" s="17">
        <v>474.1</v>
      </c>
      <c r="M1370" s="17">
        <v>23.2</v>
      </c>
      <c r="N1370" s="17">
        <f t="shared" si="63"/>
        <v>450.90000000000003</v>
      </c>
      <c r="O1370" s="17">
        <v>389.1</v>
      </c>
      <c r="P1370" s="17">
        <v>439.5</v>
      </c>
      <c r="Q1370" s="17">
        <v>284.10000000000002</v>
      </c>
      <c r="R1370" s="17">
        <f t="shared" si="64"/>
        <v>166.8</v>
      </c>
      <c r="S1370" s="17">
        <v>250.1</v>
      </c>
      <c r="T1370" s="17">
        <f t="shared" si="65"/>
        <v>139.00000000000003</v>
      </c>
    </row>
    <row r="1371" spans="1:20" x14ac:dyDescent="0.35">
      <c r="A1371" s="14" t="s">
        <v>103</v>
      </c>
      <c r="B1371" s="15" t="s">
        <v>104</v>
      </c>
      <c r="C1371" s="15" t="s">
        <v>64</v>
      </c>
      <c r="D1371" s="15" t="s">
        <v>99</v>
      </c>
      <c r="E1371" s="15" t="s">
        <v>91</v>
      </c>
      <c r="F1371" s="15" t="s">
        <v>67</v>
      </c>
      <c r="G1371" s="15" t="s">
        <v>68</v>
      </c>
      <c r="H1371" s="15" t="s">
        <v>72</v>
      </c>
      <c r="I1371" s="16">
        <v>27947</v>
      </c>
      <c r="J1371" s="16">
        <v>24682</v>
      </c>
      <c r="K1371" s="16">
        <v>27298</v>
      </c>
      <c r="L1371" s="17">
        <v>293.7</v>
      </c>
      <c r="M1371" s="17">
        <v>14.3</v>
      </c>
      <c r="N1371" s="17">
        <f t="shared" si="63"/>
        <v>279.39999999999998</v>
      </c>
      <c r="O1371" s="17">
        <v>231.9</v>
      </c>
      <c r="P1371" s="17">
        <v>270.60000000000002</v>
      </c>
      <c r="Q1371" s="17">
        <v>182</v>
      </c>
      <c r="R1371" s="17">
        <f t="shared" si="64"/>
        <v>97.399999999999977</v>
      </c>
      <c r="S1371" s="17">
        <v>152.9</v>
      </c>
      <c r="T1371" s="17">
        <f t="shared" si="65"/>
        <v>79</v>
      </c>
    </row>
    <row r="1372" spans="1:20" x14ac:dyDescent="0.35">
      <c r="A1372" s="14" t="s">
        <v>103</v>
      </c>
      <c r="B1372" s="15" t="s">
        <v>104</v>
      </c>
      <c r="C1372" s="15" t="s">
        <v>64</v>
      </c>
      <c r="D1372" s="15" t="s">
        <v>99</v>
      </c>
      <c r="E1372" s="15" t="s">
        <v>91</v>
      </c>
      <c r="F1372" s="15" t="s">
        <v>67</v>
      </c>
      <c r="G1372" s="15" t="s">
        <v>73</v>
      </c>
      <c r="H1372" s="15" t="s">
        <v>71</v>
      </c>
      <c r="I1372" s="16">
        <v>16357</v>
      </c>
      <c r="J1372" s="16">
        <v>13584</v>
      </c>
      <c r="K1372" s="16">
        <v>16009</v>
      </c>
      <c r="L1372" s="17">
        <v>128.69999999999999</v>
      </c>
      <c r="M1372" s="17">
        <v>7.4</v>
      </c>
      <c r="N1372" s="17">
        <f t="shared" si="63"/>
        <v>121.29999999999998</v>
      </c>
      <c r="O1372" s="17">
        <v>95.2</v>
      </c>
      <c r="P1372" s="17">
        <v>118</v>
      </c>
      <c r="Q1372" s="17">
        <v>74</v>
      </c>
      <c r="R1372" s="17">
        <f t="shared" si="64"/>
        <v>47.299999999999983</v>
      </c>
      <c r="S1372" s="17">
        <v>59.1</v>
      </c>
      <c r="T1372" s="17">
        <f t="shared" si="65"/>
        <v>36.1</v>
      </c>
    </row>
    <row r="1373" spans="1:20" x14ac:dyDescent="0.35">
      <c r="A1373" s="14" t="s">
        <v>103</v>
      </c>
      <c r="B1373" s="15" t="s">
        <v>104</v>
      </c>
      <c r="C1373" s="15" t="s">
        <v>64</v>
      </c>
      <c r="D1373" s="15" t="s">
        <v>99</v>
      </c>
      <c r="E1373" s="15" t="s">
        <v>91</v>
      </c>
      <c r="F1373" s="15" t="s">
        <v>67</v>
      </c>
      <c r="G1373" s="15" t="s">
        <v>73</v>
      </c>
      <c r="H1373" s="15" t="s">
        <v>72</v>
      </c>
      <c r="I1373" s="16">
        <v>10698</v>
      </c>
      <c r="J1373" s="16">
        <v>8633</v>
      </c>
      <c r="K1373" s="16">
        <v>10428</v>
      </c>
      <c r="L1373" s="17">
        <v>116.1</v>
      </c>
      <c r="M1373" s="17">
        <v>6.8</v>
      </c>
      <c r="N1373" s="17">
        <f t="shared" si="63"/>
        <v>109.3</v>
      </c>
      <c r="O1373" s="17">
        <v>82.7</v>
      </c>
      <c r="P1373" s="17">
        <v>105.7</v>
      </c>
      <c r="Q1373" s="17">
        <v>69.3</v>
      </c>
      <c r="R1373" s="17">
        <f t="shared" si="64"/>
        <v>40</v>
      </c>
      <c r="S1373" s="17">
        <v>53.1</v>
      </c>
      <c r="T1373" s="17">
        <f t="shared" si="65"/>
        <v>29.6</v>
      </c>
    </row>
    <row r="1374" spans="1:20" x14ac:dyDescent="0.35">
      <c r="A1374" s="14" t="s">
        <v>103</v>
      </c>
      <c r="B1374" s="15" t="s">
        <v>104</v>
      </c>
      <c r="C1374" s="15" t="s">
        <v>64</v>
      </c>
      <c r="D1374" s="15" t="s">
        <v>99</v>
      </c>
      <c r="E1374" s="15" t="s">
        <v>91</v>
      </c>
      <c r="F1374" s="15" t="s">
        <v>67</v>
      </c>
      <c r="G1374" s="15" t="s">
        <v>74</v>
      </c>
      <c r="H1374" s="15" t="s">
        <v>70</v>
      </c>
      <c r="I1374" s="16">
        <v>13008</v>
      </c>
      <c r="J1374" s="16">
        <v>11366</v>
      </c>
      <c r="K1374" s="16">
        <v>12771</v>
      </c>
      <c r="L1374" s="17">
        <v>77.900000000000006</v>
      </c>
      <c r="M1374" s="17">
        <v>4.2</v>
      </c>
      <c r="N1374" s="17">
        <f t="shared" si="63"/>
        <v>73.7</v>
      </c>
      <c r="O1374" s="17">
        <v>61</v>
      </c>
      <c r="P1374" s="17">
        <v>72.099999999999994</v>
      </c>
      <c r="Q1374" s="17">
        <v>41.6</v>
      </c>
      <c r="R1374" s="17">
        <f t="shared" si="64"/>
        <v>32.1</v>
      </c>
      <c r="S1374" s="17">
        <v>35</v>
      </c>
      <c r="T1374" s="17">
        <f t="shared" si="65"/>
        <v>26</v>
      </c>
    </row>
    <row r="1375" spans="1:20" x14ac:dyDescent="0.35">
      <c r="A1375" s="14" t="s">
        <v>103</v>
      </c>
      <c r="B1375" s="15" t="s">
        <v>104</v>
      </c>
      <c r="C1375" s="15" t="s">
        <v>64</v>
      </c>
      <c r="D1375" s="15" t="s">
        <v>99</v>
      </c>
      <c r="E1375" s="15" t="s">
        <v>91</v>
      </c>
      <c r="F1375" s="15" t="s">
        <v>67</v>
      </c>
      <c r="G1375" s="15" t="s">
        <v>74</v>
      </c>
      <c r="H1375" s="15" t="s">
        <v>71</v>
      </c>
      <c r="I1375" s="16">
        <v>24802</v>
      </c>
      <c r="J1375" s="16">
        <v>22130</v>
      </c>
      <c r="K1375" s="16">
        <v>24409</v>
      </c>
      <c r="L1375" s="17">
        <v>182.3</v>
      </c>
      <c r="M1375" s="17">
        <v>8.6</v>
      </c>
      <c r="N1375" s="17">
        <f t="shared" si="63"/>
        <v>173.70000000000002</v>
      </c>
      <c r="O1375" s="17">
        <v>146.6</v>
      </c>
      <c r="P1375" s="17">
        <v>169.3</v>
      </c>
      <c r="Q1375" s="17">
        <v>105.7</v>
      </c>
      <c r="R1375" s="17">
        <f t="shared" si="64"/>
        <v>68.000000000000014</v>
      </c>
      <c r="S1375" s="17">
        <v>90.1</v>
      </c>
      <c r="T1375" s="17">
        <f t="shared" si="65"/>
        <v>56.5</v>
      </c>
    </row>
    <row r="1376" spans="1:20" x14ac:dyDescent="0.35">
      <c r="A1376" s="14" t="s">
        <v>103</v>
      </c>
      <c r="B1376" s="15" t="s">
        <v>104</v>
      </c>
      <c r="C1376" s="15" t="s">
        <v>64</v>
      </c>
      <c r="D1376" s="15" t="s">
        <v>99</v>
      </c>
      <c r="E1376" s="15" t="s">
        <v>91</v>
      </c>
      <c r="F1376" s="15" t="s">
        <v>67</v>
      </c>
      <c r="G1376" s="15" t="s">
        <v>75</v>
      </c>
      <c r="H1376" s="15" t="s">
        <v>71</v>
      </c>
      <c r="I1376" s="16">
        <v>18274</v>
      </c>
      <c r="J1376" s="16">
        <v>16076</v>
      </c>
      <c r="K1376" s="16">
        <v>18018</v>
      </c>
      <c r="L1376" s="17">
        <v>136.1</v>
      </c>
      <c r="M1376" s="17">
        <v>8.1</v>
      </c>
      <c r="N1376" s="17">
        <f t="shared" si="63"/>
        <v>128</v>
      </c>
      <c r="O1376" s="17">
        <v>106.8</v>
      </c>
      <c r="P1376" s="17">
        <v>123.6</v>
      </c>
      <c r="Q1376" s="17">
        <v>80.400000000000006</v>
      </c>
      <c r="R1376" s="17">
        <f t="shared" si="64"/>
        <v>47.599999999999994</v>
      </c>
      <c r="S1376" s="17">
        <v>68</v>
      </c>
      <c r="T1376" s="17">
        <f t="shared" si="65"/>
        <v>38.799999999999997</v>
      </c>
    </row>
    <row r="1377" spans="1:20" x14ac:dyDescent="0.35">
      <c r="A1377" s="14" t="s">
        <v>103</v>
      </c>
      <c r="B1377" s="15" t="s">
        <v>104</v>
      </c>
      <c r="C1377" s="15" t="s">
        <v>64</v>
      </c>
      <c r="D1377" s="15" t="s">
        <v>99</v>
      </c>
      <c r="E1377" s="15" t="s">
        <v>91</v>
      </c>
      <c r="F1377" s="15" t="s">
        <v>67</v>
      </c>
      <c r="G1377" s="15" t="s">
        <v>76</v>
      </c>
      <c r="H1377" s="15" t="s">
        <v>72</v>
      </c>
      <c r="I1377" s="16">
        <v>24055</v>
      </c>
      <c r="J1377" s="16">
        <v>20688</v>
      </c>
      <c r="K1377" s="16">
        <v>23443</v>
      </c>
      <c r="L1377" s="17">
        <v>311.60000000000002</v>
      </c>
      <c r="M1377" s="17">
        <v>14.7</v>
      </c>
      <c r="N1377" s="17">
        <f t="shared" si="63"/>
        <v>296.90000000000003</v>
      </c>
      <c r="O1377" s="17">
        <v>239.8</v>
      </c>
      <c r="P1377" s="17">
        <v>288</v>
      </c>
      <c r="Q1377" s="17">
        <v>187.8</v>
      </c>
      <c r="R1377" s="17">
        <f t="shared" si="64"/>
        <v>109.10000000000002</v>
      </c>
      <c r="S1377" s="17">
        <v>153.30000000000001</v>
      </c>
      <c r="T1377" s="17">
        <f t="shared" si="65"/>
        <v>86.5</v>
      </c>
    </row>
    <row r="1378" spans="1:20" x14ac:dyDescent="0.35">
      <c r="A1378" s="14" t="s">
        <v>103</v>
      </c>
      <c r="B1378" s="15" t="s">
        <v>104</v>
      </c>
      <c r="C1378" s="15" t="s">
        <v>64</v>
      </c>
      <c r="D1378" s="15" t="s">
        <v>99</v>
      </c>
      <c r="E1378" s="15" t="s">
        <v>91</v>
      </c>
      <c r="F1378" s="15" t="s">
        <v>79</v>
      </c>
      <c r="G1378" s="15" t="s">
        <v>80</v>
      </c>
      <c r="H1378" s="15" t="s">
        <v>71</v>
      </c>
      <c r="I1378" s="16">
        <v>19196</v>
      </c>
      <c r="J1378" s="16">
        <v>16859</v>
      </c>
      <c r="K1378" s="16">
        <v>18937</v>
      </c>
      <c r="L1378" s="17">
        <v>94.1</v>
      </c>
      <c r="M1378" s="17">
        <v>3.8</v>
      </c>
      <c r="N1378" s="17">
        <f t="shared" si="63"/>
        <v>90.3</v>
      </c>
      <c r="O1378" s="17">
        <v>74.900000000000006</v>
      </c>
      <c r="P1378" s="17">
        <v>87.4</v>
      </c>
      <c r="Q1378" s="17">
        <v>54.8</v>
      </c>
      <c r="R1378" s="17">
        <f t="shared" si="64"/>
        <v>35.5</v>
      </c>
      <c r="S1378" s="17">
        <v>45.9</v>
      </c>
      <c r="T1378" s="17">
        <f t="shared" si="65"/>
        <v>29.000000000000007</v>
      </c>
    </row>
    <row r="1379" spans="1:20" x14ac:dyDescent="0.35">
      <c r="A1379" s="14" t="s">
        <v>103</v>
      </c>
      <c r="B1379" s="15" t="s">
        <v>104</v>
      </c>
      <c r="C1379" s="15" t="s">
        <v>64</v>
      </c>
      <c r="D1379" s="15" t="s">
        <v>99</v>
      </c>
      <c r="E1379" s="15" t="s">
        <v>91</v>
      </c>
      <c r="F1379" s="15" t="s">
        <v>81</v>
      </c>
      <c r="G1379" s="15" t="s">
        <v>82</v>
      </c>
      <c r="H1379" s="15" t="s">
        <v>71</v>
      </c>
      <c r="I1379" s="16">
        <v>5744</v>
      </c>
      <c r="J1379" s="16">
        <v>4985</v>
      </c>
      <c r="K1379" s="16">
        <v>5589</v>
      </c>
      <c r="L1379" s="17">
        <v>58.5</v>
      </c>
      <c r="M1379" s="17">
        <v>2.7</v>
      </c>
      <c r="N1379" s="17">
        <f t="shared" si="63"/>
        <v>55.8</v>
      </c>
      <c r="O1379" s="17">
        <v>45.5</v>
      </c>
      <c r="P1379" s="17">
        <v>54.3</v>
      </c>
      <c r="Q1379" s="17">
        <v>35</v>
      </c>
      <c r="R1379" s="17">
        <f t="shared" si="64"/>
        <v>20.799999999999997</v>
      </c>
      <c r="S1379" s="17">
        <v>29.1</v>
      </c>
      <c r="T1379" s="17">
        <f t="shared" si="65"/>
        <v>16.399999999999999</v>
      </c>
    </row>
    <row r="1380" spans="1:20" x14ac:dyDescent="0.35">
      <c r="A1380" s="14" t="s">
        <v>103</v>
      </c>
      <c r="B1380" s="15" t="s">
        <v>104</v>
      </c>
      <c r="C1380" s="15" t="s">
        <v>64</v>
      </c>
      <c r="D1380" s="15" t="s">
        <v>99</v>
      </c>
      <c r="E1380" s="15" t="s">
        <v>91</v>
      </c>
      <c r="F1380" s="15" t="s">
        <v>83</v>
      </c>
      <c r="G1380" s="15" t="s">
        <v>84</v>
      </c>
      <c r="H1380" s="15" t="s">
        <v>72</v>
      </c>
      <c r="I1380" s="16">
        <v>5439</v>
      </c>
      <c r="J1380" s="16">
        <v>4226</v>
      </c>
      <c r="K1380" s="16">
        <v>5337</v>
      </c>
      <c r="L1380" s="17">
        <v>169.4</v>
      </c>
      <c r="M1380" s="17">
        <v>6.9</v>
      </c>
      <c r="N1380" s="17">
        <f t="shared" si="63"/>
        <v>162.5</v>
      </c>
      <c r="O1380" s="17">
        <v>118.8</v>
      </c>
      <c r="P1380" s="17">
        <v>159</v>
      </c>
      <c r="Q1380" s="17">
        <v>94.9</v>
      </c>
      <c r="R1380" s="17">
        <f t="shared" si="64"/>
        <v>67.599999999999994</v>
      </c>
      <c r="S1380" s="17">
        <v>70.7</v>
      </c>
      <c r="T1380" s="17">
        <f t="shared" si="65"/>
        <v>48.099999999999994</v>
      </c>
    </row>
    <row r="1381" spans="1:20" x14ac:dyDescent="0.35">
      <c r="A1381" s="14" t="s">
        <v>103</v>
      </c>
      <c r="B1381" s="15" t="s">
        <v>104</v>
      </c>
      <c r="C1381" s="15" t="s">
        <v>64</v>
      </c>
      <c r="D1381" s="15" t="s">
        <v>99</v>
      </c>
      <c r="E1381" s="15" t="s">
        <v>92</v>
      </c>
      <c r="F1381" s="15" t="s">
        <v>67</v>
      </c>
      <c r="G1381" s="15" t="s">
        <v>68</v>
      </c>
      <c r="H1381" s="15" t="s">
        <v>69</v>
      </c>
      <c r="I1381" s="16">
        <v>72344</v>
      </c>
      <c r="J1381" s="16">
        <v>55993</v>
      </c>
      <c r="K1381" s="16">
        <v>70906</v>
      </c>
      <c r="L1381" s="17">
        <v>343.4</v>
      </c>
      <c r="M1381" s="17">
        <v>26.7</v>
      </c>
      <c r="N1381" s="17">
        <f t="shared" si="63"/>
        <v>316.7</v>
      </c>
      <c r="O1381" s="17">
        <v>229.4</v>
      </c>
      <c r="P1381" s="17">
        <v>305.2</v>
      </c>
      <c r="Q1381" s="17">
        <v>170</v>
      </c>
      <c r="R1381" s="17">
        <f t="shared" si="64"/>
        <v>146.69999999999999</v>
      </c>
      <c r="S1381" s="17">
        <v>124.7</v>
      </c>
      <c r="T1381" s="17">
        <f t="shared" si="65"/>
        <v>104.7</v>
      </c>
    </row>
    <row r="1382" spans="1:20" x14ac:dyDescent="0.35">
      <c r="A1382" s="14" t="s">
        <v>103</v>
      </c>
      <c r="B1382" s="15" t="s">
        <v>104</v>
      </c>
      <c r="C1382" s="15" t="s">
        <v>64</v>
      </c>
      <c r="D1382" s="15" t="s">
        <v>99</v>
      </c>
      <c r="E1382" s="15" t="s">
        <v>92</v>
      </c>
      <c r="F1382" s="15" t="s">
        <v>67</v>
      </c>
      <c r="G1382" s="15" t="s">
        <v>68</v>
      </c>
      <c r="H1382" s="15" t="s">
        <v>70</v>
      </c>
      <c r="I1382" s="16">
        <v>102783</v>
      </c>
      <c r="J1382" s="16">
        <v>77367</v>
      </c>
      <c r="K1382" s="16">
        <v>100421</v>
      </c>
      <c r="L1382" s="17">
        <v>573.9</v>
      </c>
      <c r="M1382" s="17">
        <v>42.3</v>
      </c>
      <c r="N1382" s="17">
        <f t="shared" si="63"/>
        <v>531.6</v>
      </c>
      <c r="O1382" s="17">
        <v>378.8</v>
      </c>
      <c r="P1382" s="17">
        <v>513.79999999999995</v>
      </c>
      <c r="Q1382" s="17">
        <v>307.7</v>
      </c>
      <c r="R1382" s="17">
        <f t="shared" si="64"/>
        <v>223.90000000000003</v>
      </c>
      <c r="S1382" s="17">
        <v>224.2</v>
      </c>
      <c r="T1382" s="17">
        <f t="shared" si="65"/>
        <v>154.60000000000002</v>
      </c>
    </row>
    <row r="1383" spans="1:20" x14ac:dyDescent="0.35">
      <c r="A1383" s="14" t="s">
        <v>103</v>
      </c>
      <c r="B1383" s="15" t="s">
        <v>104</v>
      </c>
      <c r="C1383" s="15" t="s">
        <v>64</v>
      </c>
      <c r="D1383" s="15" t="s">
        <v>99</v>
      </c>
      <c r="E1383" s="15" t="s">
        <v>92</v>
      </c>
      <c r="F1383" s="15" t="s">
        <v>67</v>
      </c>
      <c r="G1383" s="15" t="s">
        <v>68</v>
      </c>
      <c r="H1383" s="15" t="s">
        <v>71</v>
      </c>
      <c r="I1383" s="16">
        <v>111707</v>
      </c>
      <c r="J1383" s="16">
        <v>86377</v>
      </c>
      <c r="K1383" s="16">
        <v>109045</v>
      </c>
      <c r="L1383" s="17">
        <v>798.8</v>
      </c>
      <c r="M1383" s="17">
        <v>60.3</v>
      </c>
      <c r="N1383" s="17">
        <f t="shared" si="63"/>
        <v>738.5</v>
      </c>
      <c r="O1383" s="17">
        <v>542</v>
      </c>
      <c r="P1383" s="17">
        <v>715.1</v>
      </c>
      <c r="Q1383" s="17">
        <v>460.9</v>
      </c>
      <c r="R1383" s="17">
        <f t="shared" si="64"/>
        <v>277.60000000000002</v>
      </c>
      <c r="S1383" s="17">
        <v>340.9</v>
      </c>
      <c r="T1383" s="17">
        <f t="shared" si="65"/>
        <v>201.10000000000002</v>
      </c>
    </row>
    <row r="1384" spans="1:20" x14ac:dyDescent="0.35">
      <c r="A1384" s="14" t="s">
        <v>103</v>
      </c>
      <c r="B1384" s="15" t="s">
        <v>104</v>
      </c>
      <c r="C1384" s="15" t="s">
        <v>64</v>
      </c>
      <c r="D1384" s="15" t="s">
        <v>99</v>
      </c>
      <c r="E1384" s="15" t="s">
        <v>92</v>
      </c>
      <c r="F1384" s="15" t="s">
        <v>67</v>
      </c>
      <c r="G1384" s="15" t="s">
        <v>68</v>
      </c>
      <c r="H1384" s="15" t="s">
        <v>72</v>
      </c>
      <c r="I1384" s="16">
        <v>26338</v>
      </c>
      <c r="J1384" s="16">
        <v>19772</v>
      </c>
      <c r="K1384" s="16">
        <v>25680</v>
      </c>
      <c r="L1384" s="17">
        <v>255.8</v>
      </c>
      <c r="M1384" s="17">
        <v>18.899999999999999</v>
      </c>
      <c r="N1384" s="17">
        <f t="shared" si="63"/>
        <v>236.9</v>
      </c>
      <c r="O1384" s="17">
        <v>168.2</v>
      </c>
      <c r="P1384" s="17">
        <v>229.8</v>
      </c>
      <c r="Q1384" s="17">
        <v>154.5</v>
      </c>
      <c r="R1384" s="17">
        <f t="shared" si="64"/>
        <v>82.4</v>
      </c>
      <c r="S1384" s="17">
        <v>111.1</v>
      </c>
      <c r="T1384" s="17">
        <f t="shared" si="65"/>
        <v>57.099999999999994</v>
      </c>
    </row>
    <row r="1385" spans="1:20" x14ac:dyDescent="0.35">
      <c r="A1385" s="14" t="s">
        <v>103</v>
      </c>
      <c r="B1385" s="15" t="s">
        <v>104</v>
      </c>
      <c r="C1385" s="15" t="s">
        <v>64</v>
      </c>
      <c r="D1385" s="15" t="s">
        <v>99</v>
      </c>
      <c r="E1385" s="15" t="s">
        <v>92</v>
      </c>
      <c r="F1385" s="15" t="s">
        <v>67</v>
      </c>
      <c r="G1385" s="15" t="s">
        <v>73</v>
      </c>
      <c r="H1385" s="15" t="s">
        <v>71</v>
      </c>
      <c r="I1385" s="16">
        <v>28997</v>
      </c>
      <c r="J1385" s="16">
        <v>20923</v>
      </c>
      <c r="K1385" s="16">
        <v>28281</v>
      </c>
      <c r="L1385" s="17">
        <v>207.2</v>
      </c>
      <c r="M1385" s="17">
        <v>14.8</v>
      </c>
      <c r="N1385" s="17">
        <f t="shared" si="63"/>
        <v>192.39999999999998</v>
      </c>
      <c r="O1385" s="17">
        <v>130.4</v>
      </c>
      <c r="P1385" s="17">
        <v>185.2</v>
      </c>
      <c r="Q1385" s="17">
        <v>119.9</v>
      </c>
      <c r="R1385" s="17">
        <f t="shared" si="64"/>
        <v>72.499999999999972</v>
      </c>
      <c r="S1385" s="17">
        <v>82.5</v>
      </c>
      <c r="T1385" s="17">
        <f t="shared" si="65"/>
        <v>47.900000000000006</v>
      </c>
    </row>
    <row r="1386" spans="1:20" x14ac:dyDescent="0.35">
      <c r="A1386" s="14" t="s">
        <v>103</v>
      </c>
      <c r="B1386" s="15" t="s">
        <v>104</v>
      </c>
      <c r="C1386" s="15" t="s">
        <v>64</v>
      </c>
      <c r="D1386" s="15" t="s">
        <v>99</v>
      </c>
      <c r="E1386" s="15" t="s">
        <v>92</v>
      </c>
      <c r="F1386" s="15" t="s">
        <v>67</v>
      </c>
      <c r="G1386" s="15" t="s">
        <v>73</v>
      </c>
      <c r="H1386" s="15" t="s">
        <v>72</v>
      </c>
      <c r="I1386" s="16">
        <v>9587</v>
      </c>
      <c r="J1386" s="16">
        <v>6753</v>
      </c>
      <c r="K1386" s="16">
        <v>9349</v>
      </c>
      <c r="L1386" s="17">
        <v>91.9</v>
      </c>
      <c r="M1386" s="17">
        <v>8</v>
      </c>
      <c r="N1386" s="17">
        <f t="shared" si="63"/>
        <v>83.9</v>
      </c>
      <c r="O1386" s="17">
        <v>56.2</v>
      </c>
      <c r="P1386" s="17">
        <v>81.7</v>
      </c>
      <c r="Q1386" s="17">
        <v>52.7</v>
      </c>
      <c r="R1386" s="17">
        <f t="shared" si="64"/>
        <v>31.200000000000003</v>
      </c>
      <c r="S1386" s="17">
        <v>35.9</v>
      </c>
      <c r="T1386" s="17">
        <f t="shared" si="65"/>
        <v>20.300000000000004</v>
      </c>
    </row>
    <row r="1387" spans="1:20" x14ac:dyDescent="0.35">
      <c r="A1387" s="14" t="s">
        <v>103</v>
      </c>
      <c r="B1387" s="15" t="s">
        <v>104</v>
      </c>
      <c r="C1387" s="15" t="s">
        <v>64</v>
      </c>
      <c r="D1387" s="15" t="s">
        <v>99</v>
      </c>
      <c r="E1387" s="15" t="s">
        <v>92</v>
      </c>
      <c r="F1387" s="15" t="s">
        <v>67</v>
      </c>
      <c r="G1387" s="15" t="s">
        <v>74</v>
      </c>
      <c r="H1387" s="15" t="s">
        <v>70</v>
      </c>
      <c r="I1387" s="16">
        <v>40536</v>
      </c>
      <c r="J1387" s="16">
        <v>30284</v>
      </c>
      <c r="K1387" s="16">
        <v>39488</v>
      </c>
      <c r="L1387" s="17">
        <v>224.2</v>
      </c>
      <c r="M1387" s="17">
        <v>17.100000000000001</v>
      </c>
      <c r="N1387" s="17">
        <f t="shared" si="63"/>
        <v>207.1</v>
      </c>
      <c r="O1387" s="17">
        <v>146.9</v>
      </c>
      <c r="P1387" s="17">
        <v>202.5</v>
      </c>
      <c r="Q1387" s="17">
        <v>119.6</v>
      </c>
      <c r="R1387" s="17">
        <f t="shared" si="64"/>
        <v>87.5</v>
      </c>
      <c r="S1387" s="17">
        <v>86.6</v>
      </c>
      <c r="T1387" s="17">
        <f t="shared" si="65"/>
        <v>60.300000000000011</v>
      </c>
    </row>
    <row r="1388" spans="1:20" x14ac:dyDescent="0.35">
      <c r="A1388" s="14" t="s">
        <v>103</v>
      </c>
      <c r="B1388" s="15" t="s">
        <v>104</v>
      </c>
      <c r="C1388" s="15" t="s">
        <v>64</v>
      </c>
      <c r="D1388" s="15" t="s">
        <v>99</v>
      </c>
      <c r="E1388" s="15" t="s">
        <v>92</v>
      </c>
      <c r="F1388" s="15" t="s">
        <v>67</v>
      </c>
      <c r="G1388" s="15" t="s">
        <v>74</v>
      </c>
      <c r="H1388" s="15" t="s">
        <v>71</v>
      </c>
      <c r="I1388" s="16">
        <v>41611</v>
      </c>
      <c r="J1388" s="16">
        <v>31902</v>
      </c>
      <c r="K1388" s="16">
        <v>40588</v>
      </c>
      <c r="L1388" s="17">
        <v>292.8</v>
      </c>
      <c r="M1388" s="17">
        <v>21.5</v>
      </c>
      <c r="N1388" s="17">
        <f t="shared" si="63"/>
        <v>271.3</v>
      </c>
      <c r="O1388" s="17">
        <v>196.9</v>
      </c>
      <c r="P1388" s="17">
        <v>264.2</v>
      </c>
      <c r="Q1388" s="17">
        <v>172.2</v>
      </c>
      <c r="R1388" s="17">
        <f t="shared" si="64"/>
        <v>99.100000000000023</v>
      </c>
      <c r="S1388" s="17">
        <v>126</v>
      </c>
      <c r="T1388" s="17">
        <f t="shared" si="65"/>
        <v>70.900000000000006</v>
      </c>
    </row>
    <row r="1389" spans="1:20" x14ac:dyDescent="0.35">
      <c r="A1389" s="14" t="s">
        <v>103</v>
      </c>
      <c r="B1389" s="15" t="s">
        <v>104</v>
      </c>
      <c r="C1389" s="15" t="s">
        <v>64</v>
      </c>
      <c r="D1389" s="15" t="s">
        <v>99</v>
      </c>
      <c r="E1389" s="15" t="s">
        <v>92</v>
      </c>
      <c r="F1389" s="15" t="s">
        <v>67</v>
      </c>
      <c r="G1389" s="15" t="s">
        <v>75</v>
      </c>
      <c r="H1389" s="15" t="s">
        <v>71</v>
      </c>
      <c r="I1389" s="16">
        <v>35631</v>
      </c>
      <c r="J1389" s="16">
        <v>27038</v>
      </c>
      <c r="K1389" s="16">
        <v>34888</v>
      </c>
      <c r="L1389" s="17">
        <v>242.6</v>
      </c>
      <c r="M1389" s="17">
        <v>17.5</v>
      </c>
      <c r="N1389" s="17">
        <f t="shared" si="63"/>
        <v>225.1</v>
      </c>
      <c r="O1389" s="17">
        <v>161</v>
      </c>
      <c r="P1389" s="17">
        <v>219.5</v>
      </c>
      <c r="Q1389" s="17">
        <v>139.1</v>
      </c>
      <c r="R1389" s="17">
        <f t="shared" si="64"/>
        <v>86</v>
      </c>
      <c r="S1389" s="17">
        <v>100.3</v>
      </c>
      <c r="T1389" s="17">
        <f t="shared" si="65"/>
        <v>60.7</v>
      </c>
    </row>
    <row r="1390" spans="1:20" x14ac:dyDescent="0.35">
      <c r="A1390" s="14" t="s">
        <v>103</v>
      </c>
      <c r="B1390" s="15" t="s">
        <v>104</v>
      </c>
      <c r="C1390" s="15" t="s">
        <v>64</v>
      </c>
      <c r="D1390" s="15" t="s">
        <v>99</v>
      </c>
      <c r="E1390" s="15" t="s">
        <v>92</v>
      </c>
      <c r="F1390" s="15" t="s">
        <v>67</v>
      </c>
      <c r="G1390" s="15" t="s">
        <v>76</v>
      </c>
      <c r="H1390" s="15" t="s">
        <v>72</v>
      </c>
      <c r="I1390" s="16">
        <v>7159</v>
      </c>
      <c r="J1390" s="16">
        <v>5367</v>
      </c>
      <c r="K1390" s="16">
        <v>7032</v>
      </c>
      <c r="L1390" s="17">
        <v>83.8</v>
      </c>
      <c r="M1390" s="17">
        <v>6.1</v>
      </c>
      <c r="N1390" s="17">
        <f t="shared" si="63"/>
        <v>77.7</v>
      </c>
      <c r="O1390" s="17">
        <v>55.1</v>
      </c>
      <c r="P1390" s="17">
        <v>75.599999999999994</v>
      </c>
      <c r="Q1390" s="17">
        <v>48.2</v>
      </c>
      <c r="R1390" s="17">
        <f t="shared" si="64"/>
        <v>29.5</v>
      </c>
      <c r="S1390" s="17">
        <v>35</v>
      </c>
      <c r="T1390" s="17">
        <f t="shared" si="65"/>
        <v>20.100000000000001</v>
      </c>
    </row>
    <row r="1391" spans="1:20" x14ac:dyDescent="0.35">
      <c r="A1391" s="14" t="s">
        <v>103</v>
      </c>
      <c r="B1391" s="15" t="s">
        <v>104</v>
      </c>
      <c r="C1391" s="15" t="s">
        <v>64</v>
      </c>
      <c r="D1391" s="15" t="s">
        <v>99</v>
      </c>
      <c r="E1391" s="15" t="s">
        <v>92</v>
      </c>
      <c r="F1391" s="15" t="s">
        <v>79</v>
      </c>
      <c r="G1391" s="15" t="s">
        <v>80</v>
      </c>
      <c r="H1391" s="15" t="s">
        <v>71</v>
      </c>
      <c r="I1391" s="16">
        <v>31257</v>
      </c>
      <c r="J1391" s="16">
        <v>23431</v>
      </c>
      <c r="K1391" s="16">
        <v>30415</v>
      </c>
      <c r="L1391" s="17">
        <v>139.5</v>
      </c>
      <c r="M1391" s="17">
        <v>11.2</v>
      </c>
      <c r="N1391" s="17">
        <f t="shared" si="63"/>
        <v>128.30000000000001</v>
      </c>
      <c r="O1391" s="17">
        <v>90.6</v>
      </c>
      <c r="P1391" s="17">
        <v>124.4</v>
      </c>
      <c r="Q1391" s="17">
        <v>76.8</v>
      </c>
      <c r="R1391" s="17">
        <f t="shared" si="64"/>
        <v>51.500000000000014</v>
      </c>
      <c r="S1391" s="17">
        <v>54.8</v>
      </c>
      <c r="T1391" s="17">
        <f t="shared" si="65"/>
        <v>35.799999999999997</v>
      </c>
    </row>
    <row r="1392" spans="1:20" x14ac:dyDescent="0.35">
      <c r="A1392" s="14" t="s">
        <v>103</v>
      </c>
      <c r="B1392" s="15" t="s">
        <v>104</v>
      </c>
      <c r="C1392" s="15" t="s">
        <v>64</v>
      </c>
      <c r="D1392" s="15" t="s">
        <v>99</v>
      </c>
      <c r="E1392" s="15" t="s">
        <v>92</v>
      </c>
      <c r="F1392" s="15" t="s">
        <v>81</v>
      </c>
      <c r="G1392" s="15" t="s">
        <v>82</v>
      </c>
      <c r="H1392" s="15" t="s">
        <v>71</v>
      </c>
      <c r="I1392" s="16">
        <v>11089</v>
      </c>
      <c r="J1392" s="16">
        <v>8239</v>
      </c>
      <c r="K1392" s="16">
        <v>10867</v>
      </c>
      <c r="L1392" s="17">
        <v>100</v>
      </c>
      <c r="M1392" s="17">
        <v>7.3</v>
      </c>
      <c r="N1392" s="17">
        <f t="shared" si="63"/>
        <v>92.7</v>
      </c>
      <c r="O1392" s="17">
        <v>64.8</v>
      </c>
      <c r="P1392" s="17">
        <v>89.5</v>
      </c>
      <c r="Q1392" s="17">
        <v>57.1</v>
      </c>
      <c r="R1392" s="17">
        <f t="shared" si="64"/>
        <v>35.6</v>
      </c>
      <c r="S1392" s="17">
        <v>40.5</v>
      </c>
      <c r="T1392" s="17">
        <f t="shared" si="65"/>
        <v>24.299999999999997</v>
      </c>
    </row>
    <row r="1393" spans="1:20" x14ac:dyDescent="0.35">
      <c r="A1393" s="14" t="s">
        <v>103</v>
      </c>
      <c r="B1393" s="15" t="s">
        <v>104</v>
      </c>
      <c r="C1393" s="15" t="s">
        <v>64</v>
      </c>
      <c r="D1393" s="15" t="s">
        <v>99</v>
      </c>
      <c r="E1393" s="15" t="s">
        <v>92</v>
      </c>
      <c r="F1393" s="15" t="s">
        <v>83</v>
      </c>
      <c r="G1393" s="15" t="s">
        <v>84</v>
      </c>
      <c r="H1393" s="15" t="s">
        <v>72</v>
      </c>
      <c r="I1393" s="16">
        <v>4997</v>
      </c>
      <c r="J1393" s="16">
        <v>3425</v>
      </c>
      <c r="K1393" s="16">
        <v>4905</v>
      </c>
      <c r="L1393" s="17">
        <v>145.1</v>
      </c>
      <c r="M1393" s="17">
        <v>10.5</v>
      </c>
      <c r="N1393" s="17">
        <f t="shared" si="63"/>
        <v>134.6</v>
      </c>
      <c r="O1393" s="17">
        <v>86.6</v>
      </c>
      <c r="P1393" s="17">
        <v>129.69999999999999</v>
      </c>
      <c r="Q1393" s="17">
        <v>77.900000000000006</v>
      </c>
      <c r="R1393" s="17">
        <f t="shared" si="64"/>
        <v>56.699999999999989</v>
      </c>
      <c r="S1393" s="17">
        <v>51.3</v>
      </c>
      <c r="T1393" s="17">
        <f t="shared" si="65"/>
        <v>35.299999999999997</v>
      </c>
    </row>
    <row r="1394" spans="1:20" x14ac:dyDescent="0.35">
      <c r="A1394" s="14" t="s">
        <v>103</v>
      </c>
      <c r="B1394" s="15" t="s">
        <v>104</v>
      </c>
      <c r="C1394" s="15" t="s">
        <v>64</v>
      </c>
      <c r="D1394" s="15" t="s">
        <v>100</v>
      </c>
      <c r="E1394" s="15" t="s">
        <v>66</v>
      </c>
      <c r="F1394" s="15" t="s">
        <v>67</v>
      </c>
      <c r="G1394" s="15" t="s">
        <v>68</v>
      </c>
      <c r="H1394" s="15" t="s">
        <v>69</v>
      </c>
      <c r="I1394" s="16">
        <v>20396</v>
      </c>
      <c r="J1394" s="16">
        <v>19415</v>
      </c>
      <c r="K1394" s="16">
        <v>20127</v>
      </c>
      <c r="L1394" s="17">
        <v>133.6</v>
      </c>
      <c r="M1394" s="17">
        <v>19.2</v>
      </c>
      <c r="N1394" s="17">
        <f t="shared" si="63"/>
        <v>114.39999999999999</v>
      </c>
      <c r="O1394" s="17">
        <v>104.6</v>
      </c>
      <c r="P1394" s="17">
        <v>111.4</v>
      </c>
      <c r="Q1394" s="17">
        <v>61.2</v>
      </c>
      <c r="R1394" s="17">
        <f t="shared" si="64"/>
        <v>53.199999999999989</v>
      </c>
      <c r="S1394" s="17">
        <v>56.6</v>
      </c>
      <c r="T1394" s="17">
        <f t="shared" si="65"/>
        <v>47.999999999999993</v>
      </c>
    </row>
    <row r="1395" spans="1:20" x14ac:dyDescent="0.35">
      <c r="A1395" s="14" t="s">
        <v>103</v>
      </c>
      <c r="B1395" s="15" t="s">
        <v>104</v>
      </c>
      <c r="C1395" s="15" t="s">
        <v>64</v>
      </c>
      <c r="D1395" s="15" t="s">
        <v>100</v>
      </c>
      <c r="E1395" s="15" t="s">
        <v>66</v>
      </c>
      <c r="F1395" s="15" t="s">
        <v>67</v>
      </c>
      <c r="G1395" s="15" t="s">
        <v>68</v>
      </c>
      <c r="H1395" s="15" t="s">
        <v>70</v>
      </c>
      <c r="I1395" s="16">
        <v>43803</v>
      </c>
      <c r="J1395" s="16">
        <v>40865</v>
      </c>
      <c r="K1395" s="16">
        <v>42923</v>
      </c>
      <c r="L1395" s="17">
        <v>332.5</v>
      </c>
      <c r="M1395" s="17">
        <v>44</v>
      </c>
      <c r="N1395" s="17">
        <f t="shared" si="63"/>
        <v>288.5</v>
      </c>
      <c r="O1395" s="17">
        <v>259.5</v>
      </c>
      <c r="P1395" s="17">
        <v>279.89999999999998</v>
      </c>
      <c r="Q1395" s="17">
        <v>162.30000000000001</v>
      </c>
      <c r="R1395" s="17">
        <f t="shared" si="64"/>
        <v>126.19999999999999</v>
      </c>
      <c r="S1395" s="17">
        <v>147.1</v>
      </c>
      <c r="T1395" s="17">
        <f t="shared" si="65"/>
        <v>112.4</v>
      </c>
    </row>
    <row r="1396" spans="1:20" x14ac:dyDescent="0.35">
      <c r="A1396" s="14" t="s">
        <v>103</v>
      </c>
      <c r="B1396" s="15" t="s">
        <v>104</v>
      </c>
      <c r="C1396" s="15" t="s">
        <v>64</v>
      </c>
      <c r="D1396" s="15" t="s">
        <v>100</v>
      </c>
      <c r="E1396" s="15" t="s">
        <v>66</v>
      </c>
      <c r="F1396" s="15" t="s">
        <v>67</v>
      </c>
      <c r="G1396" s="15" t="s">
        <v>68</v>
      </c>
      <c r="H1396" s="15" t="s">
        <v>71</v>
      </c>
      <c r="I1396" s="16">
        <v>97085</v>
      </c>
      <c r="J1396" s="16">
        <v>90823</v>
      </c>
      <c r="K1396" s="16">
        <v>95758</v>
      </c>
      <c r="L1396" s="17">
        <v>946.6</v>
      </c>
      <c r="M1396" s="17">
        <v>133.19999999999999</v>
      </c>
      <c r="N1396" s="17">
        <f t="shared" si="63"/>
        <v>813.40000000000009</v>
      </c>
      <c r="O1396" s="17">
        <v>728.2</v>
      </c>
      <c r="P1396" s="17">
        <v>799</v>
      </c>
      <c r="Q1396" s="17">
        <v>503.2</v>
      </c>
      <c r="R1396" s="17">
        <f t="shared" si="64"/>
        <v>310.2000000000001</v>
      </c>
      <c r="S1396" s="17">
        <v>453.6</v>
      </c>
      <c r="T1396" s="17">
        <f t="shared" si="65"/>
        <v>274.60000000000002</v>
      </c>
    </row>
    <row r="1397" spans="1:20" x14ac:dyDescent="0.35">
      <c r="A1397" s="14" t="s">
        <v>103</v>
      </c>
      <c r="B1397" s="15" t="s">
        <v>104</v>
      </c>
      <c r="C1397" s="15" t="s">
        <v>64</v>
      </c>
      <c r="D1397" s="15" t="s">
        <v>100</v>
      </c>
      <c r="E1397" s="15" t="s">
        <v>66</v>
      </c>
      <c r="F1397" s="15" t="s">
        <v>67</v>
      </c>
      <c r="G1397" s="15" t="s">
        <v>68</v>
      </c>
      <c r="H1397" s="15" t="s">
        <v>72</v>
      </c>
      <c r="I1397" s="16">
        <v>34981</v>
      </c>
      <c r="J1397" s="16">
        <v>32392</v>
      </c>
      <c r="K1397" s="16">
        <v>34326</v>
      </c>
      <c r="L1397" s="17">
        <v>457.6</v>
      </c>
      <c r="M1397" s="17">
        <v>67.599999999999994</v>
      </c>
      <c r="N1397" s="17">
        <f t="shared" si="63"/>
        <v>390</v>
      </c>
      <c r="O1397" s="17">
        <v>348.1</v>
      </c>
      <c r="P1397" s="17">
        <v>378.1</v>
      </c>
      <c r="Q1397" s="17">
        <v>250.7</v>
      </c>
      <c r="R1397" s="17">
        <f t="shared" si="64"/>
        <v>139.30000000000001</v>
      </c>
      <c r="S1397" s="17">
        <v>225.6</v>
      </c>
      <c r="T1397" s="17">
        <f t="shared" si="65"/>
        <v>122.50000000000003</v>
      </c>
    </row>
    <row r="1398" spans="1:20" x14ac:dyDescent="0.35">
      <c r="A1398" s="14" t="s">
        <v>103</v>
      </c>
      <c r="B1398" s="15" t="s">
        <v>104</v>
      </c>
      <c r="C1398" s="15" t="s">
        <v>64</v>
      </c>
      <c r="D1398" s="15" t="s">
        <v>100</v>
      </c>
      <c r="E1398" s="15" t="s">
        <v>66</v>
      </c>
      <c r="F1398" s="15" t="s">
        <v>67</v>
      </c>
      <c r="G1398" s="15" t="s">
        <v>73</v>
      </c>
      <c r="H1398" s="15" t="s">
        <v>71</v>
      </c>
      <c r="I1398" s="16">
        <v>25408</v>
      </c>
      <c r="J1398" s="16">
        <v>22083</v>
      </c>
      <c r="K1398" s="16">
        <v>24931</v>
      </c>
      <c r="L1398" s="17">
        <v>245.4</v>
      </c>
      <c r="M1398" s="17">
        <v>36.1</v>
      </c>
      <c r="N1398" s="17">
        <f t="shared" si="63"/>
        <v>209.3</v>
      </c>
      <c r="O1398" s="17">
        <v>174.4</v>
      </c>
      <c r="P1398" s="17">
        <v>204.7</v>
      </c>
      <c r="Q1398" s="17">
        <v>132</v>
      </c>
      <c r="R1398" s="17">
        <f t="shared" si="64"/>
        <v>77.300000000000011</v>
      </c>
      <c r="S1398" s="17">
        <v>111.3</v>
      </c>
      <c r="T1398" s="17">
        <f t="shared" si="65"/>
        <v>63.100000000000009</v>
      </c>
    </row>
    <row r="1399" spans="1:20" x14ac:dyDescent="0.35">
      <c r="A1399" s="14" t="s">
        <v>103</v>
      </c>
      <c r="B1399" s="15" t="s">
        <v>104</v>
      </c>
      <c r="C1399" s="15" t="s">
        <v>64</v>
      </c>
      <c r="D1399" s="15" t="s">
        <v>100</v>
      </c>
      <c r="E1399" s="15" t="s">
        <v>66</v>
      </c>
      <c r="F1399" s="15" t="s">
        <v>67</v>
      </c>
      <c r="G1399" s="15" t="s">
        <v>73</v>
      </c>
      <c r="H1399" s="15" t="s">
        <v>72</v>
      </c>
      <c r="I1399" s="16">
        <v>12579</v>
      </c>
      <c r="J1399" s="16">
        <v>10662</v>
      </c>
      <c r="K1399" s="16">
        <v>12444</v>
      </c>
      <c r="L1399" s="17">
        <v>164</v>
      </c>
      <c r="M1399" s="17">
        <v>23.3</v>
      </c>
      <c r="N1399" s="17">
        <f t="shared" si="63"/>
        <v>140.69999999999999</v>
      </c>
      <c r="O1399" s="17">
        <v>114.5</v>
      </c>
      <c r="P1399" s="17">
        <v>138</v>
      </c>
      <c r="Q1399" s="17">
        <v>91.6</v>
      </c>
      <c r="R1399" s="17">
        <f t="shared" si="64"/>
        <v>49.099999999999994</v>
      </c>
      <c r="S1399" s="17">
        <v>75.2</v>
      </c>
      <c r="T1399" s="17">
        <f t="shared" si="65"/>
        <v>39.299999999999997</v>
      </c>
    </row>
    <row r="1400" spans="1:20" x14ac:dyDescent="0.35">
      <c r="A1400" s="14" t="s">
        <v>103</v>
      </c>
      <c r="B1400" s="15" t="s">
        <v>104</v>
      </c>
      <c r="C1400" s="15" t="s">
        <v>64</v>
      </c>
      <c r="D1400" s="15" t="s">
        <v>100</v>
      </c>
      <c r="E1400" s="15" t="s">
        <v>66</v>
      </c>
      <c r="F1400" s="15" t="s">
        <v>67</v>
      </c>
      <c r="G1400" s="15" t="s">
        <v>74</v>
      </c>
      <c r="H1400" s="15" t="s">
        <v>70</v>
      </c>
      <c r="I1400" s="16">
        <v>20543</v>
      </c>
      <c r="J1400" s="16">
        <v>18683</v>
      </c>
      <c r="K1400" s="16">
        <v>20360</v>
      </c>
      <c r="L1400" s="17">
        <v>153.4</v>
      </c>
      <c r="M1400" s="17">
        <v>22.7</v>
      </c>
      <c r="N1400" s="17">
        <f t="shared" si="63"/>
        <v>130.70000000000002</v>
      </c>
      <c r="O1400" s="17">
        <v>112.7</v>
      </c>
      <c r="P1400" s="17">
        <v>127.2</v>
      </c>
      <c r="Q1400" s="17">
        <v>72.7</v>
      </c>
      <c r="R1400" s="17">
        <f t="shared" si="64"/>
        <v>58.000000000000014</v>
      </c>
      <c r="S1400" s="17">
        <v>64.2</v>
      </c>
      <c r="T1400" s="17">
        <f t="shared" si="65"/>
        <v>48.5</v>
      </c>
    </row>
    <row r="1401" spans="1:20" x14ac:dyDescent="0.35">
      <c r="A1401" s="14" t="s">
        <v>103</v>
      </c>
      <c r="B1401" s="15" t="s">
        <v>104</v>
      </c>
      <c r="C1401" s="15" t="s">
        <v>64</v>
      </c>
      <c r="D1401" s="15" t="s">
        <v>100</v>
      </c>
      <c r="E1401" s="15" t="s">
        <v>66</v>
      </c>
      <c r="F1401" s="15" t="s">
        <v>67</v>
      </c>
      <c r="G1401" s="15" t="s">
        <v>74</v>
      </c>
      <c r="H1401" s="15" t="s">
        <v>71</v>
      </c>
      <c r="I1401" s="16">
        <v>38863</v>
      </c>
      <c r="J1401" s="16">
        <v>36297</v>
      </c>
      <c r="K1401" s="16">
        <v>38216</v>
      </c>
      <c r="L1401" s="17">
        <v>355.7</v>
      </c>
      <c r="M1401" s="17">
        <v>50.6</v>
      </c>
      <c r="N1401" s="17">
        <f t="shared" si="63"/>
        <v>305.09999999999997</v>
      </c>
      <c r="O1401" s="17">
        <v>274</v>
      </c>
      <c r="P1401" s="17">
        <v>295.8</v>
      </c>
      <c r="Q1401" s="17">
        <v>190.9</v>
      </c>
      <c r="R1401" s="17">
        <f t="shared" si="64"/>
        <v>114.19999999999996</v>
      </c>
      <c r="S1401" s="17">
        <v>172.7</v>
      </c>
      <c r="T1401" s="17">
        <f t="shared" si="65"/>
        <v>101.30000000000001</v>
      </c>
    </row>
    <row r="1402" spans="1:20" x14ac:dyDescent="0.35">
      <c r="A1402" s="14" t="s">
        <v>103</v>
      </c>
      <c r="B1402" s="15" t="s">
        <v>104</v>
      </c>
      <c r="C1402" s="15" t="s">
        <v>64</v>
      </c>
      <c r="D1402" s="15" t="s">
        <v>100</v>
      </c>
      <c r="E1402" s="15" t="s">
        <v>66</v>
      </c>
      <c r="F1402" s="15" t="s">
        <v>67</v>
      </c>
      <c r="G1402" s="15" t="s">
        <v>75</v>
      </c>
      <c r="H1402" s="15" t="s">
        <v>71</v>
      </c>
      <c r="I1402" s="16">
        <v>31434</v>
      </c>
      <c r="J1402" s="16">
        <v>29196</v>
      </c>
      <c r="K1402" s="16">
        <v>31076</v>
      </c>
      <c r="L1402" s="17">
        <v>298.8</v>
      </c>
      <c r="M1402" s="17">
        <v>44.1</v>
      </c>
      <c r="N1402" s="17">
        <f t="shared" si="63"/>
        <v>254.70000000000002</v>
      </c>
      <c r="O1402" s="17">
        <v>225</v>
      </c>
      <c r="P1402" s="17">
        <v>248</v>
      </c>
      <c r="Q1402" s="17">
        <v>159.69999999999999</v>
      </c>
      <c r="R1402" s="17">
        <f t="shared" si="64"/>
        <v>95.000000000000028</v>
      </c>
      <c r="S1402" s="17">
        <v>143.6</v>
      </c>
      <c r="T1402" s="17">
        <f t="shared" si="65"/>
        <v>81.400000000000006</v>
      </c>
    </row>
    <row r="1403" spans="1:20" x14ac:dyDescent="0.35">
      <c r="A1403" s="14" t="s">
        <v>103</v>
      </c>
      <c r="B1403" s="15" t="s">
        <v>104</v>
      </c>
      <c r="C1403" s="15" t="s">
        <v>64</v>
      </c>
      <c r="D1403" s="15" t="s">
        <v>100</v>
      </c>
      <c r="E1403" s="15" t="s">
        <v>66</v>
      </c>
      <c r="F1403" s="15" t="s">
        <v>67</v>
      </c>
      <c r="G1403" s="15" t="s">
        <v>76</v>
      </c>
      <c r="H1403" s="15" t="s">
        <v>72</v>
      </c>
      <c r="I1403" s="16">
        <v>8961</v>
      </c>
      <c r="J1403" s="16">
        <v>8048</v>
      </c>
      <c r="K1403" s="16">
        <v>8874</v>
      </c>
      <c r="L1403" s="17">
        <v>140</v>
      </c>
      <c r="M1403" s="17">
        <v>20.5</v>
      </c>
      <c r="N1403" s="17">
        <f t="shared" si="63"/>
        <v>119.5</v>
      </c>
      <c r="O1403" s="17">
        <v>103.3</v>
      </c>
      <c r="P1403" s="17">
        <v>116.4</v>
      </c>
      <c r="Q1403" s="17">
        <v>74</v>
      </c>
      <c r="R1403" s="17">
        <f t="shared" si="64"/>
        <v>45.5</v>
      </c>
      <c r="S1403" s="17">
        <v>64.400000000000006</v>
      </c>
      <c r="T1403" s="17">
        <f t="shared" si="65"/>
        <v>38.899999999999991</v>
      </c>
    </row>
    <row r="1404" spans="1:20" x14ac:dyDescent="0.35">
      <c r="A1404" s="14" t="s">
        <v>103</v>
      </c>
      <c r="B1404" s="15" t="s">
        <v>104</v>
      </c>
      <c r="C1404" s="15" t="s">
        <v>64</v>
      </c>
      <c r="D1404" s="15" t="s">
        <v>100</v>
      </c>
      <c r="E1404" s="15" t="s">
        <v>66</v>
      </c>
      <c r="F1404" s="15" t="s">
        <v>67</v>
      </c>
      <c r="G1404" s="15" t="s">
        <v>77</v>
      </c>
      <c r="H1404" s="15" t="s">
        <v>71</v>
      </c>
      <c r="I1404" s="16">
        <v>17222</v>
      </c>
      <c r="J1404" s="16">
        <v>16039</v>
      </c>
      <c r="K1404" s="16">
        <v>16993</v>
      </c>
      <c r="L1404" s="17">
        <v>159.30000000000001</v>
      </c>
      <c r="M1404" s="17">
        <v>22.2</v>
      </c>
      <c r="N1404" s="17">
        <f t="shared" si="63"/>
        <v>137.10000000000002</v>
      </c>
      <c r="O1404" s="17">
        <v>123.1</v>
      </c>
      <c r="P1404" s="17">
        <v>133.6</v>
      </c>
      <c r="Q1404" s="17">
        <v>83.4</v>
      </c>
      <c r="R1404" s="17">
        <f t="shared" si="64"/>
        <v>53.700000000000017</v>
      </c>
      <c r="S1404" s="17">
        <v>75.7</v>
      </c>
      <c r="T1404" s="17">
        <f t="shared" si="65"/>
        <v>47.399999999999991</v>
      </c>
    </row>
    <row r="1405" spans="1:20" x14ac:dyDescent="0.35">
      <c r="A1405" s="14" t="s">
        <v>103</v>
      </c>
      <c r="B1405" s="15" t="s">
        <v>104</v>
      </c>
      <c r="C1405" s="15" t="s">
        <v>64</v>
      </c>
      <c r="D1405" s="15" t="s">
        <v>100</v>
      </c>
      <c r="E1405" s="15" t="s">
        <v>66</v>
      </c>
      <c r="F1405" s="15" t="s">
        <v>67</v>
      </c>
      <c r="G1405" s="15" t="s">
        <v>78</v>
      </c>
      <c r="H1405" s="15" t="s">
        <v>71</v>
      </c>
      <c r="I1405" s="16">
        <v>19764</v>
      </c>
      <c r="J1405" s="16">
        <v>18312</v>
      </c>
      <c r="K1405" s="16">
        <v>19349</v>
      </c>
      <c r="L1405" s="17">
        <v>180</v>
      </c>
      <c r="M1405" s="17">
        <v>25.5</v>
      </c>
      <c r="N1405" s="17">
        <f t="shared" si="63"/>
        <v>154.5</v>
      </c>
      <c r="O1405" s="17">
        <v>138</v>
      </c>
      <c r="P1405" s="17">
        <v>149.30000000000001</v>
      </c>
      <c r="Q1405" s="17">
        <v>95.2</v>
      </c>
      <c r="R1405" s="17">
        <f t="shared" si="64"/>
        <v>59.3</v>
      </c>
      <c r="S1405" s="17">
        <v>86.4</v>
      </c>
      <c r="T1405" s="17">
        <f t="shared" si="65"/>
        <v>51.599999999999994</v>
      </c>
    </row>
    <row r="1406" spans="1:20" x14ac:dyDescent="0.35">
      <c r="A1406" s="14" t="s">
        <v>103</v>
      </c>
      <c r="B1406" s="15" t="s">
        <v>104</v>
      </c>
      <c r="C1406" s="15" t="s">
        <v>64</v>
      </c>
      <c r="D1406" s="15" t="s">
        <v>100</v>
      </c>
      <c r="E1406" s="15" t="s">
        <v>66</v>
      </c>
      <c r="F1406" s="15" t="s">
        <v>79</v>
      </c>
      <c r="G1406" s="15" t="s">
        <v>80</v>
      </c>
      <c r="H1406" s="15" t="s">
        <v>71</v>
      </c>
      <c r="I1406" s="16">
        <v>29085</v>
      </c>
      <c r="J1406" s="16">
        <v>26272</v>
      </c>
      <c r="K1406" s="16">
        <v>28842</v>
      </c>
      <c r="L1406" s="17">
        <v>170.8</v>
      </c>
      <c r="M1406" s="17">
        <v>25.1</v>
      </c>
      <c r="N1406" s="17">
        <f t="shared" si="63"/>
        <v>145.70000000000002</v>
      </c>
      <c r="O1406" s="17">
        <v>127</v>
      </c>
      <c r="P1406" s="17">
        <v>142.19999999999999</v>
      </c>
      <c r="Q1406" s="17">
        <v>89.1</v>
      </c>
      <c r="R1406" s="17">
        <f t="shared" si="64"/>
        <v>56.600000000000023</v>
      </c>
      <c r="S1406" s="17">
        <v>78.7</v>
      </c>
      <c r="T1406" s="17">
        <f t="shared" si="65"/>
        <v>48.3</v>
      </c>
    </row>
    <row r="1407" spans="1:20" x14ac:dyDescent="0.35">
      <c r="A1407" s="14" t="s">
        <v>103</v>
      </c>
      <c r="B1407" s="15" t="s">
        <v>104</v>
      </c>
      <c r="C1407" s="15" t="s">
        <v>64</v>
      </c>
      <c r="D1407" s="15" t="s">
        <v>100</v>
      </c>
      <c r="E1407" s="15" t="s">
        <v>66</v>
      </c>
      <c r="F1407" s="15" t="s">
        <v>81</v>
      </c>
      <c r="G1407" s="15" t="s">
        <v>82</v>
      </c>
      <c r="H1407" s="15" t="s">
        <v>71</v>
      </c>
      <c r="I1407" s="16">
        <v>9473</v>
      </c>
      <c r="J1407" s="16">
        <v>8598</v>
      </c>
      <c r="K1407" s="16">
        <v>9290</v>
      </c>
      <c r="L1407" s="17">
        <v>113</v>
      </c>
      <c r="M1407" s="17">
        <v>15.3</v>
      </c>
      <c r="N1407" s="17">
        <f t="shared" si="63"/>
        <v>97.7</v>
      </c>
      <c r="O1407" s="17">
        <v>85.5</v>
      </c>
      <c r="P1407" s="17">
        <v>95.3</v>
      </c>
      <c r="Q1407" s="17">
        <v>61.9</v>
      </c>
      <c r="R1407" s="17">
        <f t="shared" si="64"/>
        <v>35.800000000000004</v>
      </c>
      <c r="S1407" s="17">
        <v>55.3</v>
      </c>
      <c r="T1407" s="17">
        <f t="shared" si="65"/>
        <v>30.200000000000003</v>
      </c>
    </row>
    <row r="1408" spans="1:20" x14ac:dyDescent="0.35">
      <c r="A1408" s="14" t="s">
        <v>103</v>
      </c>
      <c r="B1408" s="15" t="s">
        <v>104</v>
      </c>
      <c r="C1408" s="15" t="s">
        <v>64</v>
      </c>
      <c r="D1408" s="15" t="s">
        <v>100</v>
      </c>
      <c r="E1408" s="15" t="s">
        <v>66</v>
      </c>
      <c r="F1408" s="15" t="s">
        <v>83</v>
      </c>
      <c r="G1408" s="15" t="s">
        <v>84</v>
      </c>
      <c r="H1408" s="15" t="s">
        <v>72</v>
      </c>
      <c r="I1408" s="16">
        <v>11095</v>
      </c>
      <c r="J1408" s="16">
        <v>8974</v>
      </c>
      <c r="K1408" s="16">
        <v>11005</v>
      </c>
      <c r="L1408" s="17">
        <v>418.9</v>
      </c>
      <c r="M1408" s="17">
        <v>59.6</v>
      </c>
      <c r="N1408" s="17">
        <f t="shared" si="63"/>
        <v>359.29999999999995</v>
      </c>
      <c r="O1408" s="17">
        <v>278.39999999999998</v>
      </c>
      <c r="P1408" s="17">
        <v>350.8</v>
      </c>
      <c r="Q1408" s="17">
        <v>210.1</v>
      </c>
      <c r="R1408" s="17">
        <f t="shared" si="64"/>
        <v>149.19999999999996</v>
      </c>
      <c r="S1408" s="17">
        <v>165.2</v>
      </c>
      <c r="T1408" s="17">
        <f t="shared" si="65"/>
        <v>113.19999999999999</v>
      </c>
    </row>
    <row r="1409" spans="1:20" x14ac:dyDescent="0.35">
      <c r="A1409" s="14" t="s">
        <v>103</v>
      </c>
      <c r="B1409" s="15" t="s">
        <v>104</v>
      </c>
      <c r="C1409" s="15" t="s">
        <v>64</v>
      </c>
      <c r="D1409" s="15" t="s">
        <v>100</v>
      </c>
      <c r="E1409" s="15" t="s">
        <v>66</v>
      </c>
      <c r="F1409" s="15" t="s">
        <v>85</v>
      </c>
      <c r="G1409" s="15" t="s">
        <v>86</v>
      </c>
      <c r="H1409" s="15" t="s">
        <v>72</v>
      </c>
      <c r="I1409" s="16">
        <v>6308</v>
      </c>
      <c r="J1409" s="16">
        <v>5645</v>
      </c>
      <c r="K1409" s="16">
        <v>6258</v>
      </c>
      <c r="L1409" s="17">
        <v>145</v>
      </c>
      <c r="M1409" s="17">
        <v>21.1</v>
      </c>
      <c r="N1409" s="17">
        <f t="shared" si="63"/>
        <v>123.9</v>
      </c>
      <c r="O1409" s="17">
        <v>105.4</v>
      </c>
      <c r="P1409" s="17">
        <v>120.8</v>
      </c>
      <c r="Q1409" s="17">
        <v>81.099999999999994</v>
      </c>
      <c r="R1409" s="17">
        <f t="shared" si="64"/>
        <v>42.800000000000011</v>
      </c>
      <c r="S1409" s="17">
        <v>70.400000000000006</v>
      </c>
      <c r="T1409" s="17">
        <f t="shared" si="65"/>
        <v>35</v>
      </c>
    </row>
    <row r="1410" spans="1:20" x14ac:dyDescent="0.35">
      <c r="A1410" s="14" t="s">
        <v>103</v>
      </c>
      <c r="B1410" s="15" t="s">
        <v>104</v>
      </c>
      <c r="C1410" s="15" t="s">
        <v>64</v>
      </c>
      <c r="D1410" s="15" t="s">
        <v>100</v>
      </c>
      <c r="E1410" s="15" t="s">
        <v>89</v>
      </c>
      <c r="F1410" s="15" t="s">
        <v>67</v>
      </c>
      <c r="G1410" s="15" t="s">
        <v>68</v>
      </c>
      <c r="H1410" s="15" t="s">
        <v>69</v>
      </c>
      <c r="I1410" s="16">
        <v>115925</v>
      </c>
      <c r="J1410" s="16">
        <v>110042</v>
      </c>
      <c r="K1410" s="16">
        <v>114929</v>
      </c>
      <c r="L1410" s="17">
        <v>720.1</v>
      </c>
      <c r="M1410" s="17">
        <v>55.6</v>
      </c>
      <c r="N1410" s="17">
        <f t="shared" si="63"/>
        <v>664.5</v>
      </c>
      <c r="O1410" s="17">
        <v>606.6</v>
      </c>
      <c r="P1410" s="17">
        <v>651.20000000000005</v>
      </c>
      <c r="Q1410" s="17">
        <v>375.1</v>
      </c>
      <c r="R1410" s="17">
        <f t="shared" si="64"/>
        <v>289.39999999999998</v>
      </c>
      <c r="S1410" s="17">
        <v>348.3</v>
      </c>
      <c r="T1410" s="17">
        <f t="shared" si="65"/>
        <v>258.3</v>
      </c>
    </row>
    <row r="1411" spans="1:20" x14ac:dyDescent="0.35">
      <c r="A1411" s="14" t="s">
        <v>103</v>
      </c>
      <c r="B1411" s="15" t="s">
        <v>104</v>
      </c>
      <c r="C1411" s="15" t="s">
        <v>64</v>
      </c>
      <c r="D1411" s="15" t="s">
        <v>100</v>
      </c>
      <c r="E1411" s="15" t="s">
        <v>89</v>
      </c>
      <c r="F1411" s="15" t="s">
        <v>67</v>
      </c>
      <c r="G1411" s="15" t="s">
        <v>68</v>
      </c>
      <c r="H1411" s="15" t="s">
        <v>70</v>
      </c>
      <c r="I1411" s="16">
        <v>124229</v>
      </c>
      <c r="J1411" s="16">
        <v>116859</v>
      </c>
      <c r="K1411" s="16">
        <v>123243</v>
      </c>
      <c r="L1411" s="17">
        <v>928.8</v>
      </c>
      <c r="M1411" s="17">
        <v>67.2</v>
      </c>
      <c r="N1411" s="17">
        <f t="shared" si="63"/>
        <v>861.59999999999991</v>
      </c>
      <c r="O1411" s="17">
        <v>769.2</v>
      </c>
      <c r="P1411" s="17">
        <v>834.5</v>
      </c>
      <c r="Q1411" s="17">
        <v>494.1</v>
      </c>
      <c r="R1411" s="17">
        <f t="shared" si="64"/>
        <v>367.49999999999989</v>
      </c>
      <c r="S1411" s="17">
        <v>445.1</v>
      </c>
      <c r="T1411" s="17">
        <f t="shared" si="65"/>
        <v>324.10000000000002</v>
      </c>
    </row>
    <row r="1412" spans="1:20" x14ac:dyDescent="0.35">
      <c r="A1412" s="14" t="s">
        <v>103</v>
      </c>
      <c r="B1412" s="15" t="s">
        <v>104</v>
      </c>
      <c r="C1412" s="15" t="s">
        <v>64</v>
      </c>
      <c r="D1412" s="15" t="s">
        <v>100</v>
      </c>
      <c r="E1412" s="15" t="s">
        <v>89</v>
      </c>
      <c r="F1412" s="15" t="s">
        <v>67</v>
      </c>
      <c r="G1412" s="15" t="s">
        <v>68</v>
      </c>
      <c r="H1412" s="15" t="s">
        <v>71</v>
      </c>
      <c r="I1412" s="16">
        <v>118880</v>
      </c>
      <c r="J1412" s="16">
        <v>112037</v>
      </c>
      <c r="K1412" s="16">
        <v>117638</v>
      </c>
      <c r="L1412" s="17">
        <v>1102.5</v>
      </c>
      <c r="M1412" s="17">
        <v>81.2</v>
      </c>
      <c r="N1412" s="17">
        <f t="shared" ref="N1412:N1475" si="66">L1412-M1412</f>
        <v>1021.3</v>
      </c>
      <c r="O1412" s="17">
        <v>919.5</v>
      </c>
      <c r="P1412" s="17">
        <v>988.2</v>
      </c>
      <c r="Q1412" s="17">
        <v>618</v>
      </c>
      <c r="R1412" s="17">
        <f t="shared" ref="R1412:R1475" si="67">N1412-Q1412</f>
        <v>403.29999999999995</v>
      </c>
      <c r="S1412" s="17">
        <v>564.4</v>
      </c>
      <c r="T1412" s="17">
        <f t="shared" ref="T1412:T1475" si="68">O1412-S1412</f>
        <v>355.1</v>
      </c>
    </row>
    <row r="1413" spans="1:20" x14ac:dyDescent="0.35">
      <c r="A1413" s="14" t="s">
        <v>103</v>
      </c>
      <c r="B1413" s="15" t="s">
        <v>104</v>
      </c>
      <c r="C1413" s="15" t="s">
        <v>64</v>
      </c>
      <c r="D1413" s="15" t="s">
        <v>100</v>
      </c>
      <c r="E1413" s="15" t="s">
        <v>89</v>
      </c>
      <c r="F1413" s="15" t="s">
        <v>67</v>
      </c>
      <c r="G1413" s="15" t="s">
        <v>68</v>
      </c>
      <c r="H1413" s="15" t="s">
        <v>72</v>
      </c>
      <c r="I1413" s="16">
        <v>27734</v>
      </c>
      <c r="J1413" s="16">
        <v>25990</v>
      </c>
      <c r="K1413" s="16">
        <v>27449</v>
      </c>
      <c r="L1413" s="17">
        <v>338.8</v>
      </c>
      <c r="M1413" s="17">
        <v>22</v>
      </c>
      <c r="N1413" s="17">
        <f t="shared" si="66"/>
        <v>316.8</v>
      </c>
      <c r="O1413" s="17">
        <v>285.10000000000002</v>
      </c>
      <c r="P1413" s="17">
        <v>309.5</v>
      </c>
      <c r="Q1413" s="17">
        <v>202.4</v>
      </c>
      <c r="R1413" s="17">
        <f t="shared" si="67"/>
        <v>114.4</v>
      </c>
      <c r="S1413" s="17">
        <v>183.4</v>
      </c>
      <c r="T1413" s="17">
        <f t="shared" si="68"/>
        <v>101.70000000000002</v>
      </c>
    </row>
    <row r="1414" spans="1:20" x14ac:dyDescent="0.35">
      <c r="A1414" s="14" t="s">
        <v>103</v>
      </c>
      <c r="B1414" s="15" t="s">
        <v>104</v>
      </c>
      <c r="C1414" s="15" t="s">
        <v>64</v>
      </c>
      <c r="D1414" s="15" t="s">
        <v>100</v>
      </c>
      <c r="E1414" s="15" t="s">
        <v>89</v>
      </c>
      <c r="F1414" s="15" t="s">
        <v>67</v>
      </c>
      <c r="G1414" s="15" t="s">
        <v>73</v>
      </c>
      <c r="H1414" s="15" t="s">
        <v>71</v>
      </c>
      <c r="I1414" s="16">
        <v>35671</v>
      </c>
      <c r="J1414" s="16">
        <v>30653</v>
      </c>
      <c r="K1414" s="16">
        <v>34981</v>
      </c>
      <c r="L1414" s="17">
        <v>329.4</v>
      </c>
      <c r="M1414" s="17">
        <v>24.4</v>
      </c>
      <c r="N1414" s="17">
        <f t="shared" si="66"/>
        <v>305</v>
      </c>
      <c r="O1414" s="17">
        <v>251.6</v>
      </c>
      <c r="P1414" s="17">
        <v>296.5</v>
      </c>
      <c r="Q1414" s="17">
        <v>186.9</v>
      </c>
      <c r="R1414" s="17">
        <f t="shared" si="67"/>
        <v>118.1</v>
      </c>
      <c r="S1414" s="17">
        <v>157</v>
      </c>
      <c r="T1414" s="17">
        <f t="shared" si="68"/>
        <v>94.6</v>
      </c>
    </row>
    <row r="1415" spans="1:20" x14ac:dyDescent="0.35">
      <c r="A1415" s="14" t="s">
        <v>103</v>
      </c>
      <c r="B1415" s="15" t="s">
        <v>104</v>
      </c>
      <c r="C1415" s="15" t="s">
        <v>64</v>
      </c>
      <c r="D1415" s="15" t="s">
        <v>100</v>
      </c>
      <c r="E1415" s="15" t="s">
        <v>89</v>
      </c>
      <c r="F1415" s="15" t="s">
        <v>67</v>
      </c>
      <c r="G1415" s="15" t="s">
        <v>73</v>
      </c>
      <c r="H1415" s="15" t="s">
        <v>72</v>
      </c>
      <c r="I1415" s="16">
        <v>8250</v>
      </c>
      <c r="J1415" s="16">
        <v>7038</v>
      </c>
      <c r="K1415" s="16">
        <v>8131</v>
      </c>
      <c r="L1415" s="17">
        <v>103.9</v>
      </c>
      <c r="M1415" s="17">
        <v>8.1999999999999993</v>
      </c>
      <c r="N1415" s="17">
        <f t="shared" si="66"/>
        <v>95.7</v>
      </c>
      <c r="O1415" s="17">
        <v>78.7</v>
      </c>
      <c r="P1415" s="17">
        <v>93.7</v>
      </c>
      <c r="Q1415" s="17">
        <v>61.2</v>
      </c>
      <c r="R1415" s="17">
        <f t="shared" si="67"/>
        <v>34.5</v>
      </c>
      <c r="S1415" s="17">
        <v>51</v>
      </c>
      <c r="T1415" s="17">
        <f t="shared" si="68"/>
        <v>27.700000000000003</v>
      </c>
    </row>
    <row r="1416" spans="1:20" x14ac:dyDescent="0.35">
      <c r="A1416" s="14" t="s">
        <v>103</v>
      </c>
      <c r="B1416" s="15" t="s">
        <v>104</v>
      </c>
      <c r="C1416" s="15" t="s">
        <v>64</v>
      </c>
      <c r="D1416" s="15" t="s">
        <v>100</v>
      </c>
      <c r="E1416" s="15" t="s">
        <v>89</v>
      </c>
      <c r="F1416" s="15" t="s">
        <v>67</v>
      </c>
      <c r="G1416" s="15" t="s">
        <v>74</v>
      </c>
      <c r="H1416" s="15" t="s">
        <v>70</v>
      </c>
      <c r="I1416" s="16">
        <v>52773</v>
      </c>
      <c r="J1416" s="16">
        <v>48998</v>
      </c>
      <c r="K1416" s="16">
        <v>51671</v>
      </c>
      <c r="L1416" s="17">
        <v>372.6</v>
      </c>
      <c r="M1416" s="17">
        <v>26.9</v>
      </c>
      <c r="N1416" s="17">
        <f t="shared" si="66"/>
        <v>345.70000000000005</v>
      </c>
      <c r="O1416" s="17">
        <v>309.10000000000002</v>
      </c>
      <c r="P1416" s="17">
        <v>334.5</v>
      </c>
      <c r="Q1416" s="17">
        <v>197.8</v>
      </c>
      <c r="R1416" s="17">
        <f t="shared" si="67"/>
        <v>147.90000000000003</v>
      </c>
      <c r="S1416" s="17">
        <v>181.4</v>
      </c>
      <c r="T1416" s="17">
        <f t="shared" si="68"/>
        <v>127.70000000000002</v>
      </c>
    </row>
    <row r="1417" spans="1:20" x14ac:dyDescent="0.35">
      <c r="A1417" s="14" t="s">
        <v>103</v>
      </c>
      <c r="B1417" s="15" t="s">
        <v>104</v>
      </c>
      <c r="C1417" s="15" t="s">
        <v>64</v>
      </c>
      <c r="D1417" s="15" t="s">
        <v>100</v>
      </c>
      <c r="E1417" s="15" t="s">
        <v>89</v>
      </c>
      <c r="F1417" s="15" t="s">
        <v>67</v>
      </c>
      <c r="G1417" s="15" t="s">
        <v>74</v>
      </c>
      <c r="H1417" s="15" t="s">
        <v>71</v>
      </c>
      <c r="I1417" s="16">
        <v>56121</v>
      </c>
      <c r="J1417" s="16">
        <v>53337</v>
      </c>
      <c r="K1417" s="16">
        <v>55081</v>
      </c>
      <c r="L1417" s="17">
        <v>505.6</v>
      </c>
      <c r="M1417" s="17">
        <v>31.6</v>
      </c>
      <c r="N1417" s="17">
        <f t="shared" si="66"/>
        <v>474</v>
      </c>
      <c r="O1417" s="17">
        <v>432.2</v>
      </c>
      <c r="P1417" s="17">
        <v>465.7</v>
      </c>
      <c r="Q1417" s="17">
        <v>297.5</v>
      </c>
      <c r="R1417" s="17">
        <f t="shared" si="67"/>
        <v>176.5</v>
      </c>
      <c r="S1417" s="17">
        <v>277.3</v>
      </c>
      <c r="T1417" s="17">
        <f t="shared" si="68"/>
        <v>154.89999999999998</v>
      </c>
    </row>
    <row r="1418" spans="1:20" x14ac:dyDescent="0.35">
      <c r="A1418" s="14" t="s">
        <v>103</v>
      </c>
      <c r="B1418" s="15" t="s">
        <v>104</v>
      </c>
      <c r="C1418" s="15" t="s">
        <v>64</v>
      </c>
      <c r="D1418" s="15" t="s">
        <v>100</v>
      </c>
      <c r="E1418" s="15" t="s">
        <v>89</v>
      </c>
      <c r="F1418" s="15" t="s">
        <v>67</v>
      </c>
      <c r="G1418" s="15" t="s">
        <v>75</v>
      </c>
      <c r="H1418" s="15" t="s">
        <v>71</v>
      </c>
      <c r="I1418" s="16">
        <v>40194</v>
      </c>
      <c r="J1418" s="16">
        <v>38084</v>
      </c>
      <c r="K1418" s="16">
        <v>39797</v>
      </c>
      <c r="L1418" s="17">
        <v>357.6</v>
      </c>
      <c r="M1418" s="17">
        <v>21.6</v>
      </c>
      <c r="N1418" s="17">
        <f t="shared" si="66"/>
        <v>336</v>
      </c>
      <c r="O1418" s="17">
        <v>304.89999999999998</v>
      </c>
      <c r="P1418" s="17">
        <v>328.1</v>
      </c>
      <c r="Q1418" s="17">
        <v>204.3</v>
      </c>
      <c r="R1418" s="17">
        <f t="shared" si="67"/>
        <v>131.69999999999999</v>
      </c>
      <c r="S1418" s="17">
        <v>188.6</v>
      </c>
      <c r="T1418" s="17">
        <f t="shared" si="68"/>
        <v>116.29999999999998</v>
      </c>
    </row>
    <row r="1419" spans="1:20" x14ac:dyDescent="0.35">
      <c r="A1419" s="14" t="s">
        <v>103</v>
      </c>
      <c r="B1419" s="15" t="s">
        <v>104</v>
      </c>
      <c r="C1419" s="15" t="s">
        <v>64</v>
      </c>
      <c r="D1419" s="15" t="s">
        <v>100</v>
      </c>
      <c r="E1419" s="15" t="s">
        <v>89</v>
      </c>
      <c r="F1419" s="15" t="s">
        <v>67</v>
      </c>
      <c r="G1419" s="15" t="s">
        <v>76</v>
      </c>
      <c r="H1419" s="15" t="s">
        <v>72</v>
      </c>
      <c r="I1419" s="16">
        <v>6737</v>
      </c>
      <c r="J1419" s="16">
        <v>6111</v>
      </c>
      <c r="K1419" s="16">
        <v>6658</v>
      </c>
      <c r="L1419" s="17">
        <v>103</v>
      </c>
      <c r="M1419" s="17">
        <v>7.3</v>
      </c>
      <c r="N1419" s="17">
        <f t="shared" si="66"/>
        <v>95.7</v>
      </c>
      <c r="O1419" s="17">
        <v>83.7</v>
      </c>
      <c r="P1419" s="17">
        <v>93.1</v>
      </c>
      <c r="Q1419" s="17">
        <v>59.1</v>
      </c>
      <c r="R1419" s="17">
        <f t="shared" si="67"/>
        <v>36.6</v>
      </c>
      <c r="S1419" s="17">
        <v>52.5</v>
      </c>
      <c r="T1419" s="17">
        <f t="shared" si="68"/>
        <v>31.200000000000003</v>
      </c>
    </row>
    <row r="1420" spans="1:20" x14ac:dyDescent="0.35">
      <c r="A1420" s="14" t="s">
        <v>103</v>
      </c>
      <c r="B1420" s="15" t="s">
        <v>104</v>
      </c>
      <c r="C1420" s="15" t="s">
        <v>64</v>
      </c>
      <c r="D1420" s="15" t="s">
        <v>100</v>
      </c>
      <c r="E1420" s="15" t="s">
        <v>89</v>
      </c>
      <c r="F1420" s="15" t="s">
        <v>67</v>
      </c>
      <c r="G1420" s="15" t="s">
        <v>77</v>
      </c>
      <c r="H1420" s="15" t="s">
        <v>71</v>
      </c>
      <c r="I1420" s="16">
        <v>21374</v>
      </c>
      <c r="J1420" s="16">
        <v>20362</v>
      </c>
      <c r="K1420" s="16">
        <v>21038</v>
      </c>
      <c r="L1420" s="17">
        <v>192.9</v>
      </c>
      <c r="M1420" s="17">
        <v>14.4</v>
      </c>
      <c r="N1420" s="17">
        <f t="shared" si="66"/>
        <v>178.5</v>
      </c>
      <c r="O1420" s="17">
        <v>163.69999999999999</v>
      </c>
      <c r="P1420" s="17">
        <v>175.1</v>
      </c>
      <c r="Q1420" s="17">
        <v>112.4</v>
      </c>
      <c r="R1420" s="17">
        <f t="shared" si="67"/>
        <v>66.099999999999994</v>
      </c>
      <c r="S1420" s="17">
        <v>103.8</v>
      </c>
      <c r="T1420" s="17">
        <f t="shared" si="68"/>
        <v>59.899999999999991</v>
      </c>
    </row>
    <row r="1421" spans="1:20" x14ac:dyDescent="0.35">
      <c r="A1421" s="14" t="s">
        <v>103</v>
      </c>
      <c r="B1421" s="15" t="s">
        <v>104</v>
      </c>
      <c r="C1421" s="15" t="s">
        <v>64</v>
      </c>
      <c r="D1421" s="15" t="s">
        <v>100</v>
      </c>
      <c r="E1421" s="15" t="s">
        <v>89</v>
      </c>
      <c r="F1421" s="15" t="s">
        <v>67</v>
      </c>
      <c r="G1421" s="15" t="s">
        <v>78</v>
      </c>
      <c r="H1421" s="15" t="s">
        <v>71</v>
      </c>
      <c r="I1421" s="16">
        <v>27723</v>
      </c>
      <c r="J1421" s="16">
        <v>26346</v>
      </c>
      <c r="K1421" s="16">
        <v>27323</v>
      </c>
      <c r="L1421" s="17">
        <v>233.8</v>
      </c>
      <c r="M1421" s="17">
        <v>14.3</v>
      </c>
      <c r="N1421" s="17">
        <f t="shared" si="66"/>
        <v>219.5</v>
      </c>
      <c r="O1421" s="17">
        <v>201.4</v>
      </c>
      <c r="P1421" s="17">
        <v>212.6</v>
      </c>
      <c r="Q1421" s="17">
        <v>138.4</v>
      </c>
      <c r="R1421" s="17">
        <f t="shared" si="67"/>
        <v>81.099999999999994</v>
      </c>
      <c r="S1421" s="17">
        <v>129.9</v>
      </c>
      <c r="T1421" s="17">
        <f t="shared" si="68"/>
        <v>71.5</v>
      </c>
    </row>
    <row r="1422" spans="1:20" x14ac:dyDescent="0.35">
      <c r="A1422" s="14" t="s">
        <v>103</v>
      </c>
      <c r="B1422" s="15" t="s">
        <v>104</v>
      </c>
      <c r="C1422" s="15" t="s">
        <v>64</v>
      </c>
      <c r="D1422" s="15" t="s">
        <v>100</v>
      </c>
      <c r="E1422" s="15" t="s">
        <v>89</v>
      </c>
      <c r="F1422" s="15" t="s">
        <v>79</v>
      </c>
      <c r="G1422" s="15" t="s">
        <v>80</v>
      </c>
      <c r="H1422" s="15" t="s">
        <v>71</v>
      </c>
      <c r="I1422" s="16">
        <v>39714</v>
      </c>
      <c r="J1422" s="16">
        <v>37014</v>
      </c>
      <c r="K1422" s="16">
        <v>38945</v>
      </c>
      <c r="L1422" s="17">
        <v>230.4</v>
      </c>
      <c r="M1422" s="17">
        <v>17.5</v>
      </c>
      <c r="N1422" s="17">
        <f t="shared" si="66"/>
        <v>212.9</v>
      </c>
      <c r="O1422" s="17">
        <v>189.8</v>
      </c>
      <c r="P1422" s="17">
        <v>209.6</v>
      </c>
      <c r="Q1422" s="17">
        <v>130.6</v>
      </c>
      <c r="R1422" s="17">
        <f t="shared" si="67"/>
        <v>82.300000000000011</v>
      </c>
      <c r="S1422" s="17">
        <v>118.1</v>
      </c>
      <c r="T1422" s="17">
        <f t="shared" si="68"/>
        <v>71.700000000000017</v>
      </c>
    </row>
    <row r="1423" spans="1:20" x14ac:dyDescent="0.35">
      <c r="A1423" s="14" t="s">
        <v>103</v>
      </c>
      <c r="B1423" s="15" t="s">
        <v>104</v>
      </c>
      <c r="C1423" s="15" t="s">
        <v>64</v>
      </c>
      <c r="D1423" s="15" t="s">
        <v>100</v>
      </c>
      <c r="E1423" s="15" t="s">
        <v>89</v>
      </c>
      <c r="F1423" s="15" t="s">
        <v>81</v>
      </c>
      <c r="G1423" s="15" t="s">
        <v>82</v>
      </c>
      <c r="H1423" s="15" t="s">
        <v>71</v>
      </c>
      <c r="I1423" s="16">
        <v>14175</v>
      </c>
      <c r="J1423" s="16">
        <v>12982</v>
      </c>
      <c r="K1423" s="16">
        <v>14014</v>
      </c>
      <c r="L1423" s="17">
        <v>173.5</v>
      </c>
      <c r="M1423" s="17">
        <v>11.5</v>
      </c>
      <c r="N1423" s="17">
        <f t="shared" si="66"/>
        <v>162</v>
      </c>
      <c r="O1423" s="17">
        <v>142.69999999999999</v>
      </c>
      <c r="P1423" s="17">
        <v>158.19999999999999</v>
      </c>
      <c r="Q1423" s="17">
        <v>99.5</v>
      </c>
      <c r="R1423" s="17">
        <f t="shared" si="67"/>
        <v>62.5</v>
      </c>
      <c r="S1423" s="17">
        <v>88.9</v>
      </c>
      <c r="T1423" s="17">
        <f t="shared" si="68"/>
        <v>53.799999999999983</v>
      </c>
    </row>
    <row r="1424" spans="1:20" x14ac:dyDescent="0.35">
      <c r="A1424" s="14" t="s">
        <v>103</v>
      </c>
      <c r="B1424" s="15" t="s">
        <v>104</v>
      </c>
      <c r="C1424" s="15" t="s">
        <v>64</v>
      </c>
      <c r="D1424" s="15" t="s">
        <v>100</v>
      </c>
      <c r="E1424" s="15" t="s">
        <v>89</v>
      </c>
      <c r="F1424" s="15" t="s">
        <v>83</v>
      </c>
      <c r="G1424" s="15" t="s">
        <v>84</v>
      </c>
      <c r="H1424" s="15" t="s">
        <v>72</v>
      </c>
      <c r="I1424" s="16">
        <v>5536</v>
      </c>
      <c r="J1424" s="16">
        <v>4556</v>
      </c>
      <c r="K1424" s="16">
        <v>5464</v>
      </c>
      <c r="L1424" s="17">
        <v>201.6</v>
      </c>
      <c r="M1424" s="17">
        <v>12.4</v>
      </c>
      <c r="N1424" s="17">
        <f t="shared" si="66"/>
        <v>189.2</v>
      </c>
      <c r="O1424" s="17">
        <v>148.80000000000001</v>
      </c>
      <c r="P1424" s="17">
        <v>183.8</v>
      </c>
      <c r="Q1424" s="17">
        <v>110.2</v>
      </c>
      <c r="R1424" s="17">
        <f t="shared" si="67"/>
        <v>78.999999999999986</v>
      </c>
      <c r="S1424" s="17">
        <v>87.5</v>
      </c>
      <c r="T1424" s="17">
        <f t="shared" si="68"/>
        <v>61.300000000000011</v>
      </c>
    </row>
    <row r="1425" spans="1:20" x14ac:dyDescent="0.35">
      <c r="A1425" s="14" t="s">
        <v>103</v>
      </c>
      <c r="B1425" s="15" t="s">
        <v>104</v>
      </c>
      <c r="C1425" s="15" t="s">
        <v>64</v>
      </c>
      <c r="D1425" s="15" t="s">
        <v>100</v>
      </c>
      <c r="E1425" s="15" t="s">
        <v>89</v>
      </c>
      <c r="F1425" s="15" t="s">
        <v>85</v>
      </c>
      <c r="G1425" s="15" t="s">
        <v>86</v>
      </c>
      <c r="H1425" s="15" t="s">
        <v>72</v>
      </c>
      <c r="I1425" s="16">
        <v>4523</v>
      </c>
      <c r="J1425" s="16">
        <v>4169</v>
      </c>
      <c r="K1425" s="16">
        <v>4440</v>
      </c>
      <c r="L1425" s="17">
        <v>101</v>
      </c>
      <c r="M1425" s="17">
        <v>7.2</v>
      </c>
      <c r="N1425" s="17">
        <f t="shared" si="66"/>
        <v>93.8</v>
      </c>
      <c r="O1425" s="17">
        <v>83</v>
      </c>
      <c r="P1425" s="17">
        <v>91.7</v>
      </c>
      <c r="Q1425" s="17">
        <v>60.9</v>
      </c>
      <c r="R1425" s="17">
        <f t="shared" si="67"/>
        <v>32.9</v>
      </c>
      <c r="S1425" s="17">
        <v>54.9</v>
      </c>
      <c r="T1425" s="17">
        <f t="shared" si="68"/>
        <v>28.1</v>
      </c>
    </row>
    <row r="1426" spans="1:20" x14ac:dyDescent="0.35">
      <c r="A1426" s="14" t="s">
        <v>103</v>
      </c>
      <c r="B1426" s="15" t="s">
        <v>104</v>
      </c>
      <c r="C1426" s="15" t="s">
        <v>64</v>
      </c>
      <c r="D1426" s="15" t="s">
        <v>100</v>
      </c>
      <c r="E1426" s="15" t="s">
        <v>90</v>
      </c>
      <c r="F1426" s="15" t="s">
        <v>67</v>
      </c>
      <c r="G1426" s="15" t="s">
        <v>68</v>
      </c>
      <c r="H1426" s="15" t="s">
        <v>69</v>
      </c>
      <c r="I1426" s="16">
        <v>39619</v>
      </c>
      <c r="J1426" s="16">
        <v>38133</v>
      </c>
      <c r="K1426" s="16">
        <v>38801</v>
      </c>
      <c r="L1426" s="17">
        <v>227.7</v>
      </c>
      <c r="M1426" s="17">
        <v>26.9</v>
      </c>
      <c r="N1426" s="17">
        <f t="shared" si="66"/>
        <v>200.79999999999998</v>
      </c>
      <c r="O1426" s="17">
        <v>186.1</v>
      </c>
      <c r="P1426" s="17">
        <v>196.6</v>
      </c>
      <c r="Q1426" s="17">
        <v>111.7</v>
      </c>
      <c r="R1426" s="17">
        <f t="shared" si="67"/>
        <v>89.09999999999998</v>
      </c>
      <c r="S1426" s="17">
        <v>105.8</v>
      </c>
      <c r="T1426" s="17">
        <f t="shared" si="68"/>
        <v>80.3</v>
      </c>
    </row>
    <row r="1427" spans="1:20" x14ac:dyDescent="0.35">
      <c r="A1427" s="14" t="s">
        <v>103</v>
      </c>
      <c r="B1427" s="15" t="s">
        <v>104</v>
      </c>
      <c r="C1427" s="15" t="s">
        <v>64</v>
      </c>
      <c r="D1427" s="15" t="s">
        <v>100</v>
      </c>
      <c r="E1427" s="15" t="s">
        <v>90</v>
      </c>
      <c r="F1427" s="15" t="s">
        <v>67</v>
      </c>
      <c r="G1427" s="15" t="s">
        <v>68</v>
      </c>
      <c r="H1427" s="15" t="s">
        <v>70</v>
      </c>
      <c r="I1427" s="16">
        <v>54916</v>
      </c>
      <c r="J1427" s="16">
        <v>52280</v>
      </c>
      <c r="K1427" s="16">
        <v>53786</v>
      </c>
      <c r="L1427" s="17">
        <v>377</v>
      </c>
      <c r="M1427" s="17">
        <v>44.9</v>
      </c>
      <c r="N1427" s="17">
        <f t="shared" si="66"/>
        <v>332.1</v>
      </c>
      <c r="O1427" s="17">
        <v>300.39999999999998</v>
      </c>
      <c r="P1427" s="17">
        <v>321.5</v>
      </c>
      <c r="Q1427" s="17">
        <v>194</v>
      </c>
      <c r="R1427" s="17">
        <f t="shared" si="67"/>
        <v>138.10000000000002</v>
      </c>
      <c r="S1427" s="17">
        <v>179.6</v>
      </c>
      <c r="T1427" s="17">
        <f t="shared" si="68"/>
        <v>120.79999999999998</v>
      </c>
    </row>
    <row r="1428" spans="1:20" x14ac:dyDescent="0.35">
      <c r="A1428" s="14" t="s">
        <v>103</v>
      </c>
      <c r="B1428" s="15" t="s">
        <v>104</v>
      </c>
      <c r="C1428" s="15" t="s">
        <v>64</v>
      </c>
      <c r="D1428" s="15" t="s">
        <v>100</v>
      </c>
      <c r="E1428" s="15" t="s">
        <v>90</v>
      </c>
      <c r="F1428" s="15" t="s">
        <v>67</v>
      </c>
      <c r="G1428" s="15" t="s">
        <v>68</v>
      </c>
      <c r="H1428" s="15" t="s">
        <v>71</v>
      </c>
      <c r="I1428" s="16">
        <v>73358</v>
      </c>
      <c r="J1428" s="16">
        <v>70988</v>
      </c>
      <c r="K1428" s="16">
        <v>72776</v>
      </c>
      <c r="L1428" s="17">
        <v>626.5</v>
      </c>
      <c r="M1428" s="17">
        <v>67.2</v>
      </c>
      <c r="N1428" s="17">
        <f t="shared" si="66"/>
        <v>559.29999999999995</v>
      </c>
      <c r="O1428" s="17">
        <v>522.70000000000005</v>
      </c>
      <c r="P1428" s="17">
        <v>541.4</v>
      </c>
      <c r="Q1428" s="17">
        <v>344.2</v>
      </c>
      <c r="R1428" s="17">
        <f t="shared" si="67"/>
        <v>215.09999999999997</v>
      </c>
      <c r="S1428" s="17">
        <v>327.5</v>
      </c>
      <c r="T1428" s="17">
        <f t="shared" si="68"/>
        <v>195.20000000000005</v>
      </c>
    </row>
    <row r="1429" spans="1:20" x14ac:dyDescent="0.35">
      <c r="A1429" s="14" t="s">
        <v>103</v>
      </c>
      <c r="B1429" s="15" t="s">
        <v>104</v>
      </c>
      <c r="C1429" s="15" t="s">
        <v>64</v>
      </c>
      <c r="D1429" s="15" t="s">
        <v>100</v>
      </c>
      <c r="E1429" s="15" t="s">
        <v>90</v>
      </c>
      <c r="F1429" s="15" t="s">
        <v>67</v>
      </c>
      <c r="G1429" s="15" t="s">
        <v>68</v>
      </c>
      <c r="H1429" s="15" t="s">
        <v>72</v>
      </c>
      <c r="I1429" s="16">
        <v>20934</v>
      </c>
      <c r="J1429" s="16">
        <v>19918</v>
      </c>
      <c r="K1429" s="16">
        <v>20467</v>
      </c>
      <c r="L1429" s="17">
        <v>234.8</v>
      </c>
      <c r="M1429" s="17">
        <v>27.1</v>
      </c>
      <c r="N1429" s="17">
        <f t="shared" si="66"/>
        <v>207.70000000000002</v>
      </c>
      <c r="O1429" s="17">
        <v>189.6</v>
      </c>
      <c r="P1429" s="17">
        <v>200.8</v>
      </c>
      <c r="Q1429" s="17">
        <v>131.5</v>
      </c>
      <c r="R1429" s="17">
        <f t="shared" si="67"/>
        <v>76.200000000000017</v>
      </c>
      <c r="S1429" s="17">
        <v>121.2</v>
      </c>
      <c r="T1429" s="17">
        <f t="shared" si="68"/>
        <v>68.399999999999991</v>
      </c>
    </row>
    <row r="1430" spans="1:20" x14ac:dyDescent="0.35">
      <c r="A1430" s="14" t="s">
        <v>103</v>
      </c>
      <c r="B1430" s="15" t="s">
        <v>104</v>
      </c>
      <c r="C1430" s="15" t="s">
        <v>64</v>
      </c>
      <c r="D1430" s="15" t="s">
        <v>100</v>
      </c>
      <c r="E1430" s="15" t="s">
        <v>90</v>
      </c>
      <c r="F1430" s="15" t="s">
        <v>67</v>
      </c>
      <c r="G1430" s="15" t="s">
        <v>73</v>
      </c>
      <c r="H1430" s="15" t="s">
        <v>71</v>
      </c>
      <c r="I1430" s="16">
        <v>19096</v>
      </c>
      <c r="J1430" s="16">
        <v>16872</v>
      </c>
      <c r="K1430" s="16">
        <v>18726</v>
      </c>
      <c r="L1430" s="17">
        <v>165.4</v>
      </c>
      <c r="M1430" s="17">
        <v>19.8</v>
      </c>
      <c r="N1430" s="17">
        <f t="shared" si="66"/>
        <v>145.6</v>
      </c>
      <c r="O1430" s="17">
        <v>123.2</v>
      </c>
      <c r="P1430" s="17">
        <v>140.80000000000001</v>
      </c>
      <c r="Q1430" s="17">
        <v>90.4</v>
      </c>
      <c r="R1430" s="17">
        <f t="shared" si="67"/>
        <v>55.199999999999989</v>
      </c>
      <c r="S1430" s="17">
        <v>77.900000000000006</v>
      </c>
      <c r="T1430" s="17">
        <f t="shared" si="68"/>
        <v>45.3</v>
      </c>
    </row>
    <row r="1431" spans="1:20" x14ac:dyDescent="0.35">
      <c r="A1431" s="14" t="s">
        <v>103</v>
      </c>
      <c r="B1431" s="15" t="s">
        <v>104</v>
      </c>
      <c r="C1431" s="15" t="s">
        <v>64</v>
      </c>
      <c r="D1431" s="15" t="s">
        <v>100</v>
      </c>
      <c r="E1431" s="15" t="s">
        <v>90</v>
      </c>
      <c r="F1431" s="15" t="s">
        <v>67</v>
      </c>
      <c r="G1431" s="15" t="s">
        <v>73</v>
      </c>
      <c r="H1431" s="15" t="s">
        <v>72</v>
      </c>
      <c r="I1431" s="16">
        <v>7116</v>
      </c>
      <c r="J1431" s="16">
        <v>6069</v>
      </c>
      <c r="K1431" s="16">
        <v>6998</v>
      </c>
      <c r="L1431" s="17">
        <v>80.2</v>
      </c>
      <c r="M1431" s="17">
        <v>8.1</v>
      </c>
      <c r="N1431" s="17">
        <f t="shared" si="66"/>
        <v>72.100000000000009</v>
      </c>
      <c r="O1431" s="17">
        <v>58.9</v>
      </c>
      <c r="P1431" s="17">
        <v>69.8</v>
      </c>
      <c r="Q1431" s="17">
        <v>46.9</v>
      </c>
      <c r="R1431" s="17">
        <f t="shared" si="67"/>
        <v>25.20000000000001</v>
      </c>
      <c r="S1431" s="17">
        <v>39.200000000000003</v>
      </c>
      <c r="T1431" s="17">
        <f t="shared" si="68"/>
        <v>19.699999999999996</v>
      </c>
    </row>
    <row r="1432" spans="1:20" x14ac:dyDescent="0.35">
      <c r="A1432" s="14" t="s">
        <v>103</v>
      </c>
      <c r="B1432" s="15" t="s">
        <v>104</v>
      </c>
      <c r="C1432" s="15" t="s">
        <v>64</v>
      </c>
      <c r="D1432" s="15" t="s">
        <v>100</v>
      </c>
      <c r="E1432" s="15" t="s">
        <v>90</v>
      </c>
      <c r="F1432" s="15" t="s">
        <v>67</v>
      </c>
      <c r="G1432" s="15" t="s">
        <v>74</v>
      </c>
      <c r="H1432" s="15" t="s">
        <v>70</v>
      </c>
      <c r="I1432" s="16">
        <v>20445</v>
      </c>
      <c r="J1432" s="16">
        <v>19311</v>
      </c>
      <c r="K1432" s="16">
        <v>20041</v>
      </c>
      <c r="L1432" s="17">
        <v>130.5</v>
      </c>
      <c r="M1432" s="17">
        <v>14.9</v>
      </c>
      <c r="N1432" s="17">
        <f t="shared" si="66"/>
        <v>115.6</v>
      </c>
      <c r="O1432" s="17">
        <v>103.7</v>
      </c>
      <c r="P1432" s="17">
        <v>112.6</v>
      </c>
      <c r="Q1432" s="17">
        <v>64.599999999999994</v>
      </c>
      <c r="R1432" s="17">
        <f t="shared" si="67"/>
        <v>51</v>
      </c>
      <c r="S1432" s="17">
        <v>58.5</v>
      </c>
      <c r="T1432" s="17">
        <f t="shared" si="68"/>
        <v>45.2</v>
      </c>
    </row>
    <row r="1433" spans="1:20" x14ac:dyDescent="0.35">
      <c r="A1433" s="14" t="s">
        <v>103</v>
      </c>
      <c r="B1433" s="15" t="s">
        <v>104</v>
      </c>
      <c r="C1433" s="15" t="s">
        <v>64</v>
      </c>
      <c r="D1433" s="15" t="s">
        <v>100</v>
      </c>
      <c r="E1433" s="15" t="s">
        <v>90</v>
      </c>
      <c r="F1433" s="15" t="s">
        <v>67</v>
      </c>
      <c r="G1433" s="15" t="s">
        <v>74</v>
      </c>
      <c r="H1433" s="15" t="s">
        <v>71</v>
      </c>
      <c r="I1433" s="16">
        <v>28979</v>
      </c>
      <c r="J1433" s="16">
        <v>27906</v>
      </c>
      <c r="K1433" s="16">
        <v>28416</v>
      </c>
      <c r="L1433" s="17">
        <v>231.3</v>
      </c>
      <c r="M1433" s="17">
        <v>24.8</v>
      </c>
      <c r="N1433" s="17">
        <f t="shared" si="66"/>
        <v>206.5</v>
      </c>
      <c r="O1433" s="17">
        <v>189.8</v>
      </c>
      <c r="P1433" s="17">
        <v>201.5</v>
      </c>
      <c r="Q1433" s="17">
        <v>126.5</v>
      </c>
      <c r="R1433" s="17">
        <f t="shared" si="67"/>
        <v>80</v>
      </c>
      <c r="S1433" s="17">
        <v>117.5</v>
      </c>
      <c r="T1433" s="17">
        <f t="shared" si="68"/>
        <v>72.300000000000011</v>
      </c>
    </row>
    <row r="1434" spans="1:20" x14ac:dyDescent="0.35">
      <c r="A1434" s="14" t="s">
        <v>103</v>
      </c>
      <c r="B1434" s="15" t="s">
        <v>104</v>
      </c>
      <c r="C1434" s="15" t="s">
        <v>64</v>
      </c>
      <c r="D1434" s="15" t="s">
        <v>100</v>
      </c>
      <c r="E1434" s="15" t="s">
        <v>90</v>
      </c>
      <c r="F1434" s="15" t="s">
        <v>67</v>
      </c>
      <c r="G1434" s="15" t="s">
        <v>75</v>
      </c>
      <c r="H1434" s="15" t="s">
        <v>71</v>
      </c>
      <c r="I1434" s="16">
        <v>23101</v>
      </c>
      <c r="J1434" s="16">
        <v>22118</v>
      </c>
      <c r="K1434" s="16">
        <v>22724</v>
      </c>
      <c r="L1434" s="17">
        <v>182.6</v>
      </c>
      <c r="M1434" s="17">
        <v>18.7</v>
      </c>
      <c r="N1434" s="17">
        <f t="shared" si="66"/>
        <v>163.9</v>
      </c>
      <c r="O1434" s="17">
        <v>149.80000000000001</v>
      </c>
      <c r="P1434" s="17">
        <v>160</v>
      </c>
      <c r="Q1434" s="17">
        <v>101.2</v>
      </c>
      <c r="R1434" s="17">
        <f t="shared" si="67"/>
        <v>62.7</v>
      </c>
      <c r="S1434" s="17">
        <v>93.2</v>
      </c>
      <c r="T1434" s="17">
        <f t="shared" si="68"/>
        <v>56.600000000000009</v>
      </c>
    </row>
    <row r="1435" spans="1:20" x14ac:dyDescent="0.35">
      <c r="A1435" s="14" t="s">
        <v>103</v>
      </c>
      <c r="B1435" s="15" t="s">
        <v>104</v>
      </c>
      <c r="C1435" s="15" t="s">
        <v>64</v>
      </c>
      <c r="D1435" s="15" t="s">
        <v>100</v>
      </c>
      <c r="E1435" s="15" t="s">
        <v>90</v>
      </c>
      <c r="F1435" s="15" t="s">
        <v>67</v>
      </c>
      <c r="G1435" s="15" t="s">
        <v>76</v>
      </c>
      <c r="H1435" s="15" t="s">
        <v>72</v>
      </c>
      <c r="I1435" s="16">
        <v>4507</v>
      </c>
      <c r="J1435" s="16">
        <v>4161</v>
      </c>
      <c r="K1435" s="16">
        <v>4466</v>
      </c>
      <c r="L1435" s="17">
        <v>61</v>
      </c>
      <c r="M1435" s="17">
        <v>6.9</v>
      </c>
      <c r="N1435" s="17">
        <f t="shared" si="66"/>
        <v>54.1</v>
      </c>
      <c r="O1435" s="17">
        <v>47.5</v>
      </c>
      <c r="P1435" s="17">
        <v>53</v>
      </c>
      <c r="Q1435" s="17">
        <v>34.299999999999997</v>
      </c>
      <c r="R1435" s="17">
        <f t="shared" si="67"/>
        <v>19.800000000000004</v>
      </c>
      <c r="S1435" s="17">
        <v>30.4</v>
      </c>
      <c r="T1435" s="17">
        <f t="shared" si="68"/>
        <v>17.100000000000001</v>
      </c>
    </row>
    <row r="1436" spans="1:20" x14ac:dyDescent="0.35">
      <c r="A1436" s="14" t="s">
        <v>103</v>
      </c>
      <c r="B1436" s="15" t="s">
        <v>104</v>
      </c>
      <c r="C1436" s="15" t="s">
        <v>64</v>
      </c>
      <c r="D1436" s="15" t="s">
        <v>100</v>
      </c>
      <c r="E1436" s="15" t="s">
        <v>90</v>
      </c>
      <c r="F1436" s="15" t="s">
        <v>67</v>
      </c>
      <c r="G1436" s="15" t="s">
        <v>77</v>
      </c>
      <c r="H1436" s="15" t="s">
        <v>71</v>
      </c>
      <c r="I1436" s="16">
        <v>11181</v>
      </c>
      <c r="J1436" s="16">
        <v>10712</v>
      </c>
      <c r="K1436" s="16">
        <v>11053</v>
      </c>
      <c r="L1436" s="17">
        <v>93.1</v>
      </c>
      <c r="M1436" s="17">
        <v>10.9</v>
      </c>
      <c r="N1436" s="17">
        <f t="shared" si="66"/>
        <v>82.199999999999989</v>
      </c>
      <c r="O1436" s="17">
        <v>76</v>
      </c>
      <c r="P1436" s="17">
        <v>80.7</v>
      </c>
      <c r="Q1436" s="17">
        <v>49.8</v>
      </c>
      <c r="R1436" s="17">
        <f t="shared" si="67"/>
        <v>32.399999999999991</v>
      </c>
      <c r="S1436" s="17">
        <v>46.7</v>
      </c>
      <c r="T1436" s="17">
        <f t="shared" si="68"/>
        <v>29.299999999999997</v>
      </c>
    </row>
    <row r="1437" spans="1:20" x14ac:dyDescent="0.35">
      <c r="A1437" s="14" t="s">
        <v>103</v>
      </c>
      <c r="B1437" s="15" t="s">
        <v>104</v>
      </c>
      <c r="C1437" s="15" t="s">
        <v>64</v>
      </c>
      <c r="D1437" s="15" t="s">
        <v>100</v>
      </c>
      <c r="E1437" s="15" t="s">
        <v>90</v>
      </c>
      <c r="F1437" s="15" t="s">
        <v>67</v>
      </c>
      <c r="G1437" s="15" t="s">
        <v>78</v>
      </c>
      <c r="H1437" s="15" t="s">
        <v>71</v>
      </c>
      <c r="I1437" s="16">
        <v>15661</v>
      </c>
      <c r="J1437" s="16">
        <v>15097</v>
      </c>
      <c r="K1437" s="16">
        <v>15389</v>
      </c>
      <c r="L1437" s="17">
        <v>127.1</v>
      </c>
      <c r="M1437" s="17">
        <v>14.9</v>
      </c>
      <c r="N1437" s="17">
        <f t="shared" si="66"/>
        <v>112.19999999999999</v>
      </c>
      <c r="O1437" s="17">
        <v>103.5</v>
      </c>
      <c r="P1437" s="17">
        <v>110</v>
      </c>
      <c r="Q1437" s="17">
        <v>70.7</v>
      </c>
      <c r="R1437" s="17">
        <f t="shared" si="67"/>
        <v>41.499999999999986</v>
      </c>
      <c r="S1437" s="17">
        <v>65.900000000000006</v>
      </c>
      <c r="T1437" s="17">
        <f t="shared" si="68"/>
        <v>37.599999999999994</v>
      </c>
    </row>
    <row r="1438" spans="1:20" x14ac:dyDescent="0.35">
      <c r="A1438" s="14" t="s">
        <v>103</v>
      </c>
      <c r="B1438" s="15" t="s">
        <v>104</v>
      </c>
      <c r="C1438" s="15" t="s">
        <v>64</v>
      </c>
      <c r="D1438" s="15" t="s">
        <v>100</v>
      </c>
      <c r="E1438" s="15" t="s">
        <v>90</v>
      </c>
      <c r="F1438" s="15" t="s">
        <v>79</v>
      </c>
      <c r="G1438" s="15" t="s">
        <v>80</v>
      </c>
      <c r="H1438" s="15" t="s">
        <v>71</v>
      </c>
      <c r="I1438" s="16">
        <v>23440</v>
      </c>
      <c r="J1438" s="16">
        <v>21916</v>
      </c>
      <c r="K1438" s="16">
        <v>23109</v>
      </c>
      <c r="L1438" s="17">
        <v>121.5</v>
      </c>
      <c r="M1438" s="17">
        <v>14.2</v>
      </c>
      <c r="N1438" s="17">
        <f t="shared" si="66"/>
        <v>107.3</v>
      </c>
      <c r="O1438" s="17">
        <v>96.5</v>
      </c>
      <c r="P1438" s="17">
        <v>104.9</v>
      </c>
      <c r="Q1438" s="17">
        <v>64.400000000000006</v>
      </c>
      <c r="R1438" s="17">
        <f t="shared" si="67"/>
        <v>42.899999999999991</v>
      </c>
      <c r="S1438" s="17">
        <v>58.7</v>
      </c>
      <c r="T1438" s="17">
        <f t="shared" si="68"/>
        <v>37.799999999999997</v>
      </c>
    </row>
    <row r="1439" spans="1:20" x14ac:dyDescent="0.35">
      <c r="A1439" s="14" t="s">
        <v>103</v>
      </c>
      <c r="B1439" s="15" t="s">
        <v>104</v>
      </c>
      <c r="C1439" s="15" t="s">
        <v>64</v>
      </c>
      <c r="D1439" s="15" t="s">
        <v>100</v>
      </c>
      <c r="E1439" s="15" t="s">
        <v>90</v>
      </c>
      <c r="F1439" s="15" t="s">
        <v>81</v>
      </c>
      <c r="G1439" s="15" t="s">
        <v>82</v>
      </c>
      <c r="H1439" s="15" t="s">
        <v>71</v>
      </c>
      <c r="I1439" s="16">
        <v>7123</v>
      </c>
      <c r="J1439" s="16">
        <v>6580</v>
      </c>
      <c r="K1439" s="16">
        <v>7066</v>
      </c>
      <c r="L1439" s="17">
        <v>80.5</v>
      </c>
      <c r="M1439" s="17">
        <v>9.5</v>
      </c>
      <c r="N1439" s="17">
        <f t="shared" si="66"/>
        <v>71</v>
      </c>
      <c r="O1439" s="17">
        <v>62.8</v>
      </c>
      <c r="P1439" s="17">
        <v>69.2</v>
      </c>
      <c r="Q1439" s="17">
        <v>43.3</v>
      </c>
      <c r="R1439" s="17">
        <f t="shared" si="67"/>
        <v>27.700000000000003</v>
      </c>
      <c r="S1439" s="17">
        <v>39.1</v>
      </c>
      <c r="T1439" s="17">
        <f t="shared" si="68"/>
        <v>23.699999999999996</v>
      </c>
    </row>
    <row r="1440" spans="1:20" x14ac:dyDescent="0.35">
      <c r="A1440" s="14" t="s">
        <v>103</v>
      </c>
      <c r="B1440" s="15" t="s">
        <v>104</v>
      </c>
      <c r="C1440" s="15" t="s">
        <v>64</v>
      </c>
      <c r="D1440" s="15" t="s">
        <v>100</v>
      </c>
      <c r="E1440" s="15" t="s">
        <v>90</v>
      </c>
      <c r="F1440" s="15" t="s">
        <v>83</v>
      </c>
      <c r="G1440" s="15" t="s">
        <v>84</v>
      </c>
      <c r="H1440" s="15" t="s">
        <v>72</v>
      </c>
      <c r="I1440" s="16">
        <v>4330</v>
      </c>
      <c r="J1440" s="16">
        <v>3546</v>
      </c>
      <c r="K1440" s="16">
        <v>4250</v>
      </c>
      <c r="L1440" s="17">
        <v>145.30000000000001</v>
      </c>
      <c r="M1440" s="17">
        <v>15.7</v>
      </c>
      <c r="N1440" s="17">
        <f t="shared" si="66"/>
        <v>129.60000000000002</v>
      </c>
      <c r="O1440" s="17">
        <v>101.6</v>
      </c>
      <c r="P1440" s="17">
        <v>125.6</v>
      </c>
      <c r="Q1440" s="17">
        <v>76.400000000000006</v>
      </c>
      <c r="R1440" s="17">
        <f t="shared" si="67"/>
        <v>53.200000000000017</v>
      </c>
      <c r="S1440" s="17">
        <v>60.7</v>
      </c>
      <c r="T1440" s="17">
        <f t="shared" si="68"/>
        <v>40.899999999999991</v>
      </c>
    </row>
    <row r="1441" spans="1:20" x14ac:dyDescent="0.35">
      <c r="A1441" s="14" t="s">
        <v>103</v>
      </c>
      <c r="B1441" s="15" t="s">
        <v>104</v>
      </c>
      <c r="C1441" s="15" t="s">
        <v>64</v>
      </c>
      <c r="D1441" s="15" t="s">
        <v>100</v>
      </c>
      <c r="E1441" s="15" t="s">
        <v>90</v>
      </c>
      <c r="F1441" s="15" t="s">
        <v>85</v>
      </c>
      <c r="G1441" s="15" t="s">
        <v>86</v>
      </c>
      <c r="H1441" s="15" t="s">
        <v>72</v>
      </c>
      <c r="I1441" s="16">
        <v>3023</v>
      </c>
      <c r="J1441" s="16">
        <v>2778</v>
      </c>
      <c r="K1441" s="16">
        <v>2977</v>
      </c>
      <c r="L1441" s="17">
        <v>63.2</v>
      </c>
      <c r="M1441" s="17">
        <v>7.3</v>
      </c>
      <c r="N1441" s="17">
        <f t="shared" si="66"/>
        <v>55.900000000000006</v>
      </c>
      <c r="O1441" s="17">
        <v>49.2</v>
      </c>
      <c r="P1441" s="17">
        <v>54.6</v>
      </c>
      <c r="Q1441" s="17">
        <v>37.200000000000003</v>
      </c>
      <c r="R1441" s="17">
        <f t="shared" si="67"/>
        <v>18.700000000000003</v>
      </c>
      <c r="S1441" s="17">
        <v>33.1</v>
      </c>
      <c r="T1441" s="17">
        <f t="shared" si="68"/>
        <v>16.100000000000001</v>
      </c>
    </row>
    <row r="1442" spans="1:20" x14ac:dyDescent="0.35">
      <c r="A1442" s="14" t="s">
        <v>103</v>
      </c>
      <c r="B1442" s="15" t="s">
        <v>104</v>
      </c>
      <c r="C1442" s="15" t="s">
        <v>64</v>
      </c>
      <c r="D1442" s="15" t="s">
        <v>100</v>
      </c>
      <c r="E1442" s="15" t="s">
        <v>91</v>
      </c>
      <c r="F1442" s="15" t="s">
        <v>67</v>
      </c>
      <c r="G1442" s="15" t="s">
        <v>68</v>
      </c>
      <c r="H1442" s="15" t="s">
        <v>69</v>
      </c>
      <c r="I1442" s="16">
        <v>26856</v>
      </c>
      <c r="J1442" s="16">
        <v>24639</v>
      </c>
      <c r="K1442" s="16">
        <v>26300</v>
      </c>
      <c r="L1442" s="17">
        <v>177.3</v>
      </c>
      <c r="M1442" s="17">
        <v>10.3</v>
      </c>
      <c r="N1442" s="17">
        <f t="shared" si="66"/>
        <v>167</v>
      </c>
      <c r="O1442" s="17">
        <v>146.19999999999999</v>
      </c>
      <c r="P1442" s="17">
        <v>163.5</v>
      </c>
      <c r="Q1442" s="17">
        <v>91.8</v>
      </c>
      <c r="R1442" s="17">
        <f t="shared" si="67"/>
        <v>75.2</v>
      </c>
      <c r="S1442" s="17">
        <v>81.2</v>
      </c>
      <c r="T1442" s="17">
        <f t="shared" si="68"/>
        <v>64.999999999999986</v>
      </c>
    </row>
    <row r="1443" spans="1:20" x14ac:dyDescent="0.35">
      <c r="A1443" s="14" t="s">
        <v>103</v>
      </c>
      <c r="B1443" s="15" t="s">
        <v>104</v>
      </c>
      <c r="C1443" s="15" t="s">
        <v>64</v>
      </c>
      <c r="D1443" s="15" t="s">
        <v>100</v>
      </c>
      <c r="E1443" s="15" t="s">
        <v>91</v>
      </c>
      <c r="F1443" s="15" t="s">
        <v>67</v>
      </c>
      <c r="G1443" s="15" t="s">
        <v>68</v>
      </c>
      <c r="H1443" s="15" t="s">
        <v>70</v>
      </c>
      <c r="I1443" s="16">
        <v>12626</v>
      </c>
      <c r="J1443" s="16">
        <v>11564</v>
      </c>
      <c r="K1443" s="16">
        <v>12395</v>
      </c>
      <c r="L1443" s="17">
        <v>97.4</v>
      </c>
      <c r="M1443" s="17">
        <v>5.0999999999999996</v>
      </c>
      <c r="N1443" s="17">
        <f t="shared" si="66"/>
        <v>92.300000000000011</v>
      </c>
      <c r="O1443" s="17">
        <v>80.400000000000006</v>
      </c>
      <c r="P1443" s="17">
        <v>90.2</v>
      </c>
      <c r="Q1443" s="17">
        <v>52.2</v>
      </c>
      <c r="R1443" s="17">
        <f t="shared" si="67"/>
        <v>40.100000000000009</v>
      </c>
      <c r="S1443" s="17">
        <v>46.3</v>
      </c>
      <c r="T1443" s="17">
        <f t="shared" si="68"/>
        <v>34.100000000000009</v>
      </c>
    </row>
    <row r="1444" spans="1:20" x14ac:dyDescent="0.35">
      <c r="A1444" s="14" t="s">
        <v>103</v>
      </c>
      <c r="B1444" s="15" t="s">
        <v>104</v>
      </c>
      <c r="C1444" s="15" t="s">
        <v>64</v>
      </c>
      <c r="D1444" s="15" t="s">
        <v>100</v>
      </c>
      <c r="E1444" s="15" t="s">
        <v>91</v>
      </c>
      <c r="F1444" s="15" t="s">
        <v>67</v>
      </c>
      <c r="G1444" s="15" t="s">
        <v>68</v>
      </c>
      <c r="H1444" s="15" t="s">
        <v>71</v>
      </c>
      <c r="I1444" s="16">
        <v>24758</v>
      </c>
      <c r="J1444" s="16">
        <v>22528</v>
      </c>
      <c r="K1444" s="16">
        <v>24562</v>
      </c>
      <c r="L1444" s="17">
        <v>238.2</v>
      </c>
      <c r="M1444" s="17">
        <v>11.6</v>
      </c>
      <c r="N1444" s="17">
        <f t="shared" si="66"/>
        <v>226.6</v>
      </c>
      <c r="O1444" s="17">
        <v>196.9</v>
      </c>
      <c r="P1444" s="17">
        <v>222.1</v>
      </c>
      <c r="Q1444" s="17">
        <v>140.6</v>
      </c>
      <c r="R1444" s="17">
        <f t="shared" si="67"/>
        <v>86</v>
      </c>
      <c r="S1444" s="17">
        <v>123</v>
      </c>
      <c r="T1444" s="17">
        <f t="shared" si="68"/>
        <v>73.900000000000006</v>
      </c>
    </row>
    <row r="1445" spans="1:20" x14ac:dyDescent="0.35">
      <c r="A1445" s="14" t="s">
        <v>103</v>
      </c>
      <c r="B1445" s="15" t="s">
        <v>104</v>
      </c>
      <c r="C1445" s="15" t="s">
        <v>64</v>
      </c>
      <c r="D1445" s="15" t="s">
        <v>100</v>
      </c>
      <c r="E1445" s="15" t="s">
        <v>91</v>
      </c>
      <c r="F1445" s="15" t="s">
        <v>67</v>
      </c>
      <c r="G1445" s="15" t="s">
        <v>68</v>
      </c>
      <c r="H1445" s="15" t="s">
        <v>72</v>
      </c>
      <c r="I1445" s="16">
        <v>11126</v>
      </c>
      <c r="J1445" s="16">
        <v>10074</v>
      </c>
      <c r="K1445" s="16">
        <v>11013</v>
      </c>
      <c r="L1445" s="17">
        <v>151.19999999999999</v>
      </c>
      <c r="M1445" s="17">
        <v>8.6</v>
      </c>
      <c r="N1445" s="17">
        <f t="shared" si="66"/>
        <v>142.6</v>
      </c>
      <c r="O1445" s="17">
        <v>122.8</v>
      </c>
      <c r="P1445" s="17">
        <v>138.6</v>
      </c>
      <c r="Q1445" s="17">
        <v>92.7</v>
      </c>
      <c r="R1445" s="17">
        <f t="shared" si="67"/>
        <v>49.899999999999991</v>
      </c>
      <c r="S1445" s="17">
        <v>80.599999999999994</v>
      </c>
      <c r="T1445" s="17">
        <f t="shared" si="68"/>
        <v>42.2</v>
      </c>
    </row>
    <row r="1446" spans="1:20" x14ac:dyDescent="0.35">
      <c r="A1446" s="14" t="s">
        <v>103</v>
      </c>
      <c r="B1446" s="15" t="s">
        <v>104</v>
      </c>
      <c r="C1446" s="15" t="s">
        <v>64</v>
      </c>
      <c r="D1446" s="15" t="s">
        <v>100</v>
      </c>
      <c r="E1446" s="15" t="s">
        <v>91</v>
      </c>
      <c r="F1446" s="15" t="s">
        <v>67</v>
      </c>
      <c r="G1446" s="15" t="s">
        <v>73</v>
      </c>
      <c r="H1446" s="15" t="s">
        <v>71</v>
      </c>
      <c r="I1446" s="16">
        <v>6256</v>
      </c>
      <c r="J1446" s="16">
        <v>5285</v>
      </c>
      <c r="K1446" s="16">
        <v>6205</v>
      </c>
      <c r="L1446" s="17">
        <v>62.6</v>
      </c>
      <c r="M1446" s="17">
        <v>2.6</v>
      </c>
      <c r="N1446" s="17">
        <f t="shared" si="66"/>
        <v>60</v>
      </c>
      <c r="O1446" s="17">
        <v>48.3</v>
      </c>
      <c r="P1446" s="17">
        <v>59</v>
      </c>
      <c r="Q1446" s="17">
        <v>37.9</v>
      </c>
      <c r="R1446" s="17">
        <f t="shared" si="67"/>
        <v>22.1</v>
      </c>
      <c r="S1446" s="17">
        <v>31.1</v>
      </c>
      <c r="T1446" s="17">
        <f t="shared" si="68"/>
        <v>17.199999999999996</v>
      </c>
    </row>
    <row r="1447" spans="1:20" x14ac:dyDescent="0.35">
      <c r="A1447" s="14" t="s">
        <v>103</v>
      </c>
      <c r="B1447" s="15" t="s">
        <v>104</v>
      </c>
      <c r="C1447" s="15" t="s">
        <v>64</v>
      </c>
      <c r="D1447" s="15" t="s">
        <v>100</v>
      </c>
      <c r="E1447" s="15" t="s">
        <v>91</v>
      </c>
      <c r="F1447" s="15" t="s">
        <v>67</v>
      </c>
      <c r="G1447" s="15" t="s">
        <v>73</v>
      </c>
      <c r="H1447" s="15" t="s">
        <v>72</v>
      </c>
      <c r="I1447" s="16">
        <v>3738</v>
      </c>
      <c r="J1447" s="16">
        <v>3116</v>
      </c>
      <c r="K1447" s="16">
        <v>3695</v>
      </c>
      <c r="L1447" s="17">
        <v>50.8</v>
      </c>
      <c r="M1447" s="17">
        <v>2.6</v>
      </c>
      <c r="N1447" s="17">
        <f t="shared" si="66"/>
        <v>48.199999999999996</v>
      </c>
      <c r="O1447" s="17">
        <v>38.299999999999997</v>
      </c>
      <c r="P1447" s="17">
        <v>47.4</v>
      </c>
      <c r="Q1447" s="17">
        <v>30.9</v>
      </c>
      <c r="R1447" s="17">
        <f t="shared" si="67"/>
        <v>17.299999999999997</v>
      </c>
      <c r="S1447" s="17">
        <v>25</v>
      </c>
      <c r="T1447" s="17">
        <f t="shared" si="68"/>
        <v>13.299999999999997</v>
      </c>
    </row>
    <row r="1448" spans="1:20" x14ac:dyDescent="0.35">
      <c r="A1448" s="14" t="s">
        <v>103</v>
      </c>
      <c r="B1448" s="15" t="s">
        <v>104</v>
      </c>
      <c r="C1448" s="15" t="s">
        <v>64</v>
      </c>
      <c r="D1448" s="15" t="s">
        <v>100</v>
      </c>
      <c r="E1448" s="15" t="s">
        <v>91</v>
      </c>
      <c r="F1448" s="15" t="s">
        <v>67</v>
      </c>
      <c r="G1448" s="15" t="s">
        <v>74</v>
      </c>
      <c r="H1448" s="15" t="s">
        <v>70</v>
      </c>
      <c r="I1448" s="16">
        <v>5638</v>
      </c>
      <c r="J1448" s="16">
        <v>5019</v>
      </c>
      <c r="K1448" s="16">
        <v>5537</v>
      </c>
      <c r="L1448" s="17">
        <v>43</v>
      </c>
      <c r="M1448" s="17">
        <v>2</v>
      </c>
      <c r="N1448" s="17">
        <f t="shared" si="66"/>
        <v>41</v>
      </c>
      <c r="O1448" s="17">
        <v>34.9</v>
      </c>
      <c r="P1448" s="17">
        <v>39.799999999999997</v>
      </c>
      <c r="Q1448" s="17">
        <v>23.7</v>
      </c>
      <c r="R1448" s="17">
        <f t="shared" si="67"/>
        <v>17.3</v>
      </c>
      <c r="S1448" s="17">
        <v>20.399999999999999</v>
      </c>
      <c r="T1448" s="17">
        <f t="shared" si="68"/>
        <v>14.5</v>
      </c>
    </row>
    <row r="1449" spans="1:20" x14ac:dyDescent="0.35">
      <c r="A1449" s="14" t="s">
        <v>103</v>
      </c>
      <c r="B1449" s="15" t="s">
        <v>104</v>
      </c>
      <c r="C1449" s="15" t="s">
        <v>64</v>
      </c>
      <c r="D1449" s="15" t="s">
        <v>100</v>
      </c>
      <c r="E1449" s="15" t="s">
        <v>91</v>
      </c>
      <c r="F1449" s="15" t="s">
        <v>67</v>
      </c>
      <c r="G1449" s="15" t="s">
        <v>74</v>
      </c>
      <c r="H1449" s="15" t="s">
        <v>71</v>
      </c>
      <c r="I1449" s="16">
        <v>9031</v>
      </c>
      <c r="J1449" s="16">
        <v>8264</v>
      </c>
      <c r="K1449" s="16">
        <v>8850</v>
      </c>
      <c r="L1449" s="17">
        <v>86.9</v>
      </c>
      <c r="M1449" s="17">
        <v>4</v>
      </c>
      <c r="N1449" s="17">
        <f t="shared" si="66"/>
        <v>82.9</v>
      </c>
      <c r="O1449" s="17">
        <v>72.900000000000006</v>
      </c>
      <c r="P1449" s="17">
        <v>81.2</v>
      </c>
      <c r="Q1449" s="17">
        <v>52.1</v>
      </c>
      <c r="R1449" s="17">
        <f t="shared" si="67"/>
        <v>30.800000000000004</v>
      </c>
      <c r="S1449" s="17">
        <v>46.5</v>
      </c>
      <c r="T1449" s="17">
        <f t="shared" si="68"/>
        <v>26.400000000000006</v>
      </c>
    </row>
    <row r="1450" spans="1:20" x14ac:dyDescent="0.35">
      <c r="A1450" s="14" t="s">
        <v>103</v>
      </c>
      <c r="B1450" s="15" t="s">
        <v>104</v>
      </c>
      <c r="C1450" s="15" t="s">
        <v>64</v>
      </c>
      <c r="D1450" s="15" t="s">
        <v>100</v>
      </c>
      <c r="E1450" s="15" t="s">
        <v>91</v>
      </c>
      <c r="F1450" s="15" t="s">
        <v>67</v>
      </c>
      <c r="G1450" s="15" t="s">
        <v>75</v>
      </c>
      <c r="H1450" s="15" t="s">
        <v>71</v>
      </c>
      <c r="I1450" s="16">
        <v>6921</v>
      </c>
      <c r="J1450" s="16">
        <v>6401</v>
      </c>
      <c r="K1450" s="16">
        <v>6841</v>
      </c>
      <c r="L1450" s="17">
        <v>64.7</v>
      </c>
      <c r="M1450" s="17">
        <v>3.1</v>
      </c>
      <c r="N1450" s="17">
        <f t="shared" si="66"/>
        <v>61.6</v>
      </c>
      <c r="O1450" s="17">
        <v>54.9</v>
      </c>
      <c r="P1450" s="17">
        <v>60.2</v>
      </c>
      <c r="Q1450" s="17">
        <v>38.700000000000003</v>
      </c>
      <c r="R1450" s="17">
        <f t="shared" si="67"/>
        <v>22.9</v>
      </c>
      <c r="S1450" s="17">
        <v>35.299999999999997</v>
      </c>
      <c r="T1450" s="17">
        <f t="shared" si="68"/>
        <v>19.600000000000001</v>
      </c>
    </row>
    <row r="1451" spans="1:20" x14ac:dyDescent="0.35">
      <c r="A1451" s="14" t="s">
        <v>103</v>
      </c>
      <c r="B1451" s="15" t="s">
        <v>104</v>
      </c>
      <c r="C1451" s="15" t="s">
        <v>64</v>
      </c>
      <c r="D1451" s="15" t="s">
        <v>100</v>
      </c>
      <c r="E1451" s="15" t="s">
        <v>91</v>
      </c>
      <c r="F1451" s="15" t="s">
        <v>67</v>
      </c>
      <c r="G1451" s="15" t="s">
        <v>76</v>
      </c>
      <c r="H1451" s="15" t="s">
        <v>72</v>
      </c>
      <c r="I1451" s="16">
        <v>8201</v>
      </c>
      <c r="J1451" s="16">
        <v>7337</v>
      </c>
      <c r="K1451" s="16">
        <v>8024</v>
      </c>
      <c r="L1451" s="17">
        <v>128.4</v>
      </c>
      <c r="M1451" s="17">
        <v>7</v>
      </c>
      <c r="N1451" s="17">
        <f t="shared" si="66"/>
        <v>121.4</v>
      </c>
      <c r="O1451" s="17">
        <v>103.4</v>
      </c>
      <c r="P1451" s="17">
        <v>119</v>
      </c>
      <c r="Q1451" s="17">
        <v>76.5</v>
      </c>
      <c r="R1451" s="17">
        <f t="shared" si="67"/>
        <v>44.900000000000006</v>
      </c>
      <c r="S1451" s="17">
        <v>66.099999999999994</v>
      </c>
      <c r="T1451" s="17">
        <f t="shared" si="68"/>
        <v>37.300000000000011</v>
      </c>
    </row>
    <row r="1452" spans="1:20" x14ac:dyDescent="0.35">
      <c r="A1452" s="14" t="s">
        <v>103</v>
      </c>
      <c r="B1452" s="15" t="s">
        <v>104</v>
      </c>
      <c r="C1452" s="15" t="s">
        <v>64</v>
      </c>
      <c r="D1452" s="15" t="s">
        <v>100</v>
      </c>
      <c r="E1452" s="15" t="s">
        <v>91</v>
      </c>
      <c r="F1452" s="15" t="s">
        <v>67</v>
      </c>
      <c r="G1452" s="15" t="s">
        <v>77</v>
      </c>
      <c r="H1452" s="15" t="s">
        <v>71</v>
      </c>
      <c r="I1452" s="16">
        <v>3679</v>
      </c>
      <c r="J1452" s="16">
        <v>3325</v>
      </c>
      <c r="K1452" s="16">
        <v>3606</v>
      </c>
      <c r="L1452" s="17">
        <v>35.799999999999997</v>
      </c>
      <c r="M1452" s="17">
        <v>1.6</v>
      </c>
      <c r="N1452" s="17">
        <f t="shared" si="66"/>
        <v>34.199999999999996</v>
      </c>
      <c r="O1452" s="17">
        <v>29.5</v>
      </c>
      <c r="P1452" s="17">
        <v>33.6</v>
      </c>
      <c r="Q1452" s="17">
        <v>21.3</v>
      </c>
      <c r="R1452" s="17">
        <f t="shared" si="67"/>
        <v>12.899999999999995</v>
      </c>
      <c r="S1452" s="17">
        <v>18.7</v>
      </c>
      <c r="T1452" s="17">
        <f t="shared" si="68"/>
        <v>10.8</v>
      </c>
    </row>
    <row r="1453" spans="1:20" x14ac:dyDescent="0.35">
      <c r="A1453" s="14" t="s">
        <v>103</v>
      </c>
      <c r="B1453" s="15" t="s">
        <v>104</v>
      </c>
      <c r="C1453" s="15" t="s">
        <v>64</v>
      </c>
      <c r="D1453" s="15" t="s">
        <v>100</v>
      </c>
      <c r="E1453" s="15" t="s">
        <v>91</v>
      </c>
      <c r="F1453" s="15" t="s">
        <v>67</v>
      </c>
      <c r="G1453" s="15" t="s">
        <v>78</v>
      </c>
      <c r="H1453" s="15" t="s">
        <v>71</v>
      </c>
      <c r="I1453" s="16">
        <v>4881</v>
      </c>
      <c r="J1453" s="16">
        <v>4510</v>
      </c>
      <c r="K1453" s="16">
        <v>4791</v>
      </c>
      <c r="L1453" s="17">
        <v>46.2</v>
      </c>
      <c r="M1453" s="17">
        <v>2.2000000000000002</v>
      </c>
      <c r="N1453" s="17">
        <f t="shared" si="66"/>
        <v>44</v>
      </c>
      <c r="O1453" s="17">
        <v>38.799999999999997</v>
      </c>
      <c r="P1453" s="17">
        <v>42.7</v>
      </c>
      <c r="Q1453" s="17">
        <v>27.5</v>
      </c>
      <c r="R1453" s="17">
        <f t="shared" si="67"/>
        <v>16.5</v>
      </c>
      <c r="S1453" s="17">
        <v>24.8</v>
      </c>
      <c r="T1453" s="17">
        <f t="shared" si="68"/>
        <v>13.999999999999996</v>
      </c>
    </row>
    <row r="1454" spans="1:20" x14ac:dyDescent="0.35">
      <c r="A1454" s="14" t="s">
        <v>103</v>
      </c>
      <c r="B1454" s="15" t="s">
        <v>104</v>
      </c>
      <c r="C1454" s="15" t="s">
        <v>64</v>
      </c>
      <c r="D1454" s="15" t="s">
        <v>100</v>
      </c>
      <c r="E1454" s="15" t="s">
        <v>91</v>
      </c>
      <c r="F1454" s="15" t="s">
        <v>79</v>
      </c>
      <c r="G1454" s="15" t="s">
        <v>80</v>
      </c>
      <c r="H1454" s="15" t="s">
        <v>71</v>
      </c>
      <c r="I1454" s="16">
        <v>7192</v>
      </c>
      <c r="J1454" s="16">
        <v>6517</v>
      </c>
      <c r="K1454" s="16">
        <v>7135</v>
      </c>
      <c r="L1454" s="17">
        <v>44</v>
      </c>
      <c r="M1454" s="17">
        <v>1.9</v>
      </c>
      <c r="N1454" s="17">
        <f t="shared" si="66"/>
        <v>42.1</v>
      </c>
      <c r="O1454" s="17">
        <v>36.5</v>
      </c>
      <c r="P1454" s="17">
        <v>40.799999999999997</v>
      </c>
      <c r="Q1454" s="17">
        <v>25.8</v>
      </c>
      <c r="R1454" s="17">
        <f t="shared" si="67"/>
        <v>16.3</v>
      </c>
      <c r="S1454" s="17">
        <v>22.6</v>
      </c>
      <c r="T1454" s="17">
        <f t="shared" si="68"/>
        <v>13.899999999999999</v>
      </c>
    </row>
    <row r="1455" spans="1:20" x14ac:dyDescent="0.35">
      <c r="A1455" s="14" t="s">
        <v>103</v>
      </c>
      <c r="B1455" s="15" t="s">
        <v>104</v>
      </c>
      <c r="C1455" s="15" t="s">
        <v>64</v>
      </c>
      <c r="D1455" s="15" t="s">
        <v>100</v>
      </c>
      <c r="E1455" s="15" t="s">
        <v>91</v>
      </c>
      <c r="F1455" s="15" t="s">
        <v>81</v>
      </c>
      <c r="G1455" s="15" t="s">
        <v>82</v>
      </c>
      <c r="H1455" s="15" t="s">
        <v>71</v>
      </c>
      <c r="I1455" s="16">
        <v>2216</v>
      </c>
      <c r="J1455" s="16">
        <v>1946</v>
      </c>
      <c r="K1455" s="16">
        <v>2192</v>
      </c>
      <c r="L1455" s="17">
        <v>28.3</v>
      </c>
      <c r="M1455" s="17">
        <v>1.4</v>
      </c>
      <c r="N1455" s="17">
        <f t="shared" si="66"/>
        <v>26.900000000000002</v>
      </c>
      <c r="O1455" s="17">
        <v>22.7</v>
      </c>
      <c r="P1455" s="17">
        <v>26.3</v>
      </c>
      <c r="Q1455" s="17">
        <v>17.100000000000001</v>
      </c>
      <c r="R1455" s="17">
        <f t="shared" si="67"/>
        <v>9.8000000000000007</v>
      </c>
      <c r="S1455" s="17">
        <v>14.6</v>
      </c>
      <c r="T1455" s="17">
        <f t="shared" si="68"/>
        <v>8.1</v>
      </c>
    </row>
    <row r="1456" spans="1:20" x14ac:dyDescent="0.35">
      <c r="A1456" s="14" t="s">
        <v>103</v>
      </c>
      <c r="B1456" s="15" t="s">
        <v>104</v>
      </c>
      <c r="C1456" s="15" t="s">
        <v>64</v>
      </c>
      <c r="D1456" s="15" t="s">
        <v>100</v>
      </c>
      <c r="E1456" s="15" t="s">
        <v>91</v>
      </c>
      <c r="F1456" s="15" t="s">
        <v>83</v>
      </c>
      <c r="G1456" s="15" t="s">
        <v>84</v>
      </c>
      <c r="H1456" s="15" t="s">
        <v>72</v>
      </c>
      <c r="I1456" s="16">
        <v>2331</v>
      </c>
      <c r="J1456" s="16">
        <v>1854</v>
      </c>
      <c r="K1456" s="16">
        <v>2312</v>
      </c>
      <c r="L1456" s="17">
        <v>96.8</v>
      </c>
      <c r="M1456" s="17">
        <v>5.4</v>
      </c>
      <c r="N1456" s="17">
        <f t="shared" si="66"/>
        <v>91.399999999999991</v>
      </c>
      <c r="O1456" s="17">
        <v>69.900000000000006</v>
      </c>
      <c r="P1456" s="17">
        <v>88.5</v>
      </c>
      <c r="Q1456" s="17">
        <v>52.7</v>
      </c>
      <c r="R1456" s="17">
        <f t="shared" si="67"/>
        <v>38.699999999999989</v>
      </c>
      <c r="S1456" s="17">
        <v>41.2</v>
      </c>
      <c r="T1456" s="17">
        <f t="shared" si="68"/>
        <v>28.700000000000003</v>
      </c>
    </row>
    <row r="1457" spans="1:20" x14ac:dyDescent="0.35">
      <c r="A1457" s="14" t="s">
        <v>103</v>
      </c>
      <c r="B1457" s="15" t="s">
        <v>104</v>
      </c>
      <c r="C1457" s="15" t="s">
        <v>64</v>
      </c>
      <c r="D1457" s="15" t="s">
        <v>100</v>
      </c>
      <c r="E1457" s="15" t="s">
        <v>91</v>
      </c>
      <c r="F1457" s="15" t="s">
        <v>85</v>
      </c>
      <c r="G1457" s="15" t="s">
        <v>86</v>
      </c>
      <c r="H1457" s="15" t="s">
        <v>72</v>
      </c>
      <c r="I1457" s="16">
        <v>1847</v>
      </c>
      <c r="J1457" s="16">
        <v>1660</v>
      </c>
      <c r="K1457" s="16">
        <v>1810</v>
      </c>
      <c r="L1457" s="17">
        <v>43</v>
      </c>
      <c r="M1457" s="17">
        <v>1.9</v>
      </c>
      <c r="N1457" s="17">
        <f t="shared" si="66"/>
        <v>41.1</v>
      </c>
      <c r="O1457" s="17">
        <v>35.5</v>
      </c>
      <c r="P1457" s="17">
        <v>40.4</v>
      </c>
      <c r="Q1457" s="17">
        <v>27.4</v>
      </c>
      <c r="R1457" s="17">
        <f t="shared" si="67"/>
        <v>13.700000000000003</v>
      </c>
      <c r="S1457" s="17">
        <v>23.8</v>
      </c>
      <c r="T1457" s="17">
        <f t="shared" si="68"/>
        <v>11.7</v>
      </c>
    </row>
    <row r="1458" spans="1:20" x14ac:dyDescent="0.35">
      <c r="A1458" s="14" t="s">
        <v>103</v>
      </c>
      <c r="B1458" s="15" t="s">
        <v>104</v>
      </c>
      <c r="C1458" s="15" t="s">
        <v>64</v>
      </c>
      <c r="D1458" s="15" t="s">
        <v>100</v>
      </c>
      <c r="E1458" s="15" t="s">
        <v>92</v>
      </c>
      <c r="F1458" s="15" t="s">
        <v>67</v>
      </c>
      <c r="G1458" s="15" t="s">
        <v>68</v>
      </c>
      <c r="H1458" s="15" t="s">
        <v>69</v>
      </c>
      <c r="I1458" s="16">
        <v>31633</v>
      </c>
      <c r="J1458" s="16">
        <v>25137</v>
      </c>
      <c r="K1458" s="16">
        <v>31289</v>
      </c>
      <c r="L1458" s="17">
        <v>191.7</v>
      </c>
      <c r="M1458" s="17">
        <v>16.899999999999999</v>
      </c>
      <c r="N1458" s="17">
        <f t="shared" si="66"/>
        <v>174.79999999999998</v>
      </c>
      <c r="O1458" s="17">
        <v>133.19999999999999</v>
      </c>
      <c r="P1458" s="17">
        <v>169.1</v>
      </c>
      <c r="Q1458" s="17">
        <v>97.9</v>
      </c>
      <c r="R1458" s="17">
        <f t="shared" si="67"/>
        <v>76.899999999999977</v>
      </c>
      <c r="S1458" s="17">
        <v>76.2</v>
      </c>
      <c r="T1458" s="17">
        <f t="shared" si="68"/>
        <v>56.999999999999986</v>
      </c>
    </row>
    <row r="1459" spans="1:20" x14ac:dyDescent="0.35">
      <c r="A1459" s="14" t="s">
        <v>103</v>
      </c>
      <c r="B1459" s="15" t="s">
        <v>104</v>
      </c>
      <c r="C1459" s="15" t="s">
        <v>64</v>
      </c>
      <c r="D1459" s="15" t="s">
        <v>100</v>
      </c>
      <c r="E1459" s="15" t="s">
        <v>92</v>
      </c>
      <c r="F1459" s="15" t="s">
        <v>67</v>
      </c>
      <c r="G1459" s="15" t="s">
        <v>68</v>
      </c>
      <c r="H1459" s="15" t="s">
        <v>70</v>
      </c>
      <c r="I1459" s="16">
        <v>38204</v>
      </c>
      <c r="J1459" s="16">
        <v>29790</v>
      </c>
      <c r="K1459" s="16">
        <v>37828</v>
      </c>
      <c r="L1459" s="17">
        <v>277.7</v>
      </c>
      <c r="M1459" s="17">
        <v>21</v>
      </c>
      <c r="N1459" s="17">
        <f t="shared" si="66"/>
        <v>256.7</v>
      </c>
      <c r="O1459" s="17">
        <v>192.5</v>
      </c>
      <c r="P1459" s="17">
        <v>250.7</v>
      </c>
      <c r="Q1459" s="17">
        <v>147.80000000000001</v>
      </c>
      <c r="R1459" s="17">
        <f t="shared" si="67"/>
        <v>108.89999999999998</v>
      </c>
      <c r="S1459" s="17">
        <v>112.2</v>
      </c>
      <c r="T1459" s="17">
        <f t="shared" si="68"/>
        <v>80.3</v>
      </c>
    </row>
    <row r="1460" spans="1:20" x14ac:dyDescent="0.35">
      <c r="A1460" s="14" t="s">
        <v>103</v>
      </c>
      <c r="B1460" s="15" t="s">
        <v>104</v>
      </c>
      <c r="C1460" s="15" t="s">
        <v>64</v>
      </c>
      <c r="D1460" s="15" t="s">
        <v>100</v>
      </c>
      <c r="E1460" s="15" t="s">
        <v>92</v>
      </c>
      <c r="F1460" s="15" t="s">
        <v>67</v>
      </c>
      <c r="G1460" s="15" t="s">
        <v>68</v>
      </c>
      <c r="H1460" s="15" t="s">
        <v>71</v>
      </c>
      <c r="I1460" s="16">
        <v>42528</v>
      </c>
      <c r="J1460" s="16">
        <v>33625</v>
      </c>
      <c r="K1460" s="16">
        <v>41798</v>
      </c>
      <c r="L1460" s="17">
        <v>386.4</v>
      </c>
      <c r="M1460" s="17">
        <v>30.4</v>
      </c>
      <c r="N1460" s="17">
        <f t="shared" si="66"/>
        <v>356</v>
      </c>
      <c r="O1460" s="17">
        <v>270.5</v>
      </c>
      <c r="P1460" s="17">
        <v>346.6</v>
      </c>
      <c r="Q1460" s="17">
        <v>219.1</v>
      </c>
      <c r="R1460" s="17">
        <f t="shared" si="67"/>
        <v>136.9</v>
      </c>
      <c r="S1460" s="17">
        <v>169.8</v>
      </c>
      <c r="T1460" s="17">
        <f t="shared" si="68"/>
        <v>100.69999999999999</v>
      </c>
    </row>
    <row r="1461" spans="1:20" x14ac:dyDescent="0.35">
      <c r="A1461" s="14" t="s">
        <v>103</v>
      </c>
      <c r="B1461" s="15" t="s">
        <v>104</v>
      </c>
      <c r="C1461" s="15" t="s">
        <v>64</v>
      </c>
      <c r="D1461" s="15" t="s">
        <v>100</v>
      </c>
      <c r="E1461" s="15" t="s">
        <v>92</v>
      </c>
      <c r="F1461" s="15" t="s">
        <v>67</v>
      </c>
      <c r="G1461" s="15" t="s">
        <v>68</v>
      </c>
      <c r="H1461" s="15" t="s">
        <v>72</v>
      </c>
      <c r="I1461" s="16">
        <v>11089</v>
      </c>
      <c r="J1461" s="16">
        <v>8603</v>
      </c>
      <c r="K1461" s="16">
        <v>10912</v>
      </c>
      <c r="L1461" s="17">
        <v>139.30000000000001</v>
      </c>
      <c r="M1461" s="17">
        <v>12.3</v>
      </c>
      <c r="N1461" s="17">
        <f t="shared" si="66"/>
        <v>127.00000000000001</v>
      </c>
      <c r="O1461" s="17">
        <v>95.1</v>
      </c>
      <c r="P1461" s="17">
        <v>123.4</v>
      </c>
      <c r="Q1461" s="17">
        <v>80.900000000000006</v>
      </c>
      <c r="R1461" s="17">
        <f t="shared" si="67"/>
        <v>46.100000000000009</v>
      </c>
      <c r="S1461" s="17">
        <v>61.8</v>
      </c>
      <c r="T1461" s="17">
        <f t="shared" si="68"/>
        <v>33.299999999999997</v>
      </c>
    </row>
    <row r="1462" spans="1:20" x14ac:dyDescent="0.35">
      <c r="A1462" s="14" t="s">
        <v>103</v>
      </c>
      <c r="B1462" s="15" t="s">
        <v>104</v>
      </c>
      <c r="C1462" s="15" t="s">
        <v>64</v>
      </c>
      <c r="D1462" s="15" t="s">
        <v>100</v>
      </c>
      <c r="E1462" s="15" t="s">
        <v>92</v>
      </c>
      <c r="F1462" s="15" t="s">
        <v>67</v>
      </c>
      <c r="G1462" s="15" t="s">
        <v>73</v>
      </c>
      <c r="H1462" s="15" t="s">
        <v>71</v>
      </c>
      <c r="I1462" s="16">
        <v>10978</v>
      </c>
      <c r="J1462" s="16">
        <v>7962</v>
      </c>
      <c r="K1462" s="16">
        <v>10799</v>
      </c>
      <c r="L1462" s="17">
        <v>98.6</v>
      </c>
      <c r="M1462" s="17">
        <v>7.5</v>
      </c>
      <c r="N1462" s="17">
        <f t="shared" si="66"/>
        <v>91.1</v>
      </c>
      <c r="O1462" s="17">
        <v>63.3</v>
      </c>
      <c r="P1462" s="17">
        <v>88.5</v>
      </c>
      <c r="Q1462" s="17">
        <v>55.5</v>
      </c>
      <c r="R1462" s="17">
        <f t="shared" si="67"/>
        <v>35.599999999999994</v>
      </c>
      <c r="S1462" s="17">
        <v>39.200000000000003</v>
      </c>
      <c r="T1462" s="17">
        <f t="shared" si="68"/>
        <v>24.099999999999994</v>
      </c>
    </row>
    <row r="1463" spans="1:20" x14ac:dyDescent="0.35">
      <c r="A1463" s="14" t="s">
        <v>103</v>
      </c>
      <c r="B1463" s="15" t="s">
        <v>104</v>
      </c>
      <c r="C1463" s="15" t="s">
        <v>64</v>
      </c>
      <c r="D1463" s="15" t="s">
        <v>100</v>
      </c>
      <c r="E1463" s="15" t="s">
        <v>92</v>
      </c>
      <c r="F1463" s="15" t="s">
        <v>67</v>
      </c>
      <c r="G1463" s="15" t="s">
        <v>73</v>
      </c>
      <c r="H1463" s="15" t="s">
        <v>72</v>
      </c>
      <c r="I1463" s="16">
        <v>3763</v>
      </c>
      <c r="J1463" s="16">
        <v>2732</v>
      </c>
      <c r="K1463" s="16">
        <v>3722</v>
      </c>
      <c r="L1463" s="17">
        <v>44.9</v>
      </c>
      <c r="M1463" s="17">
        <v>3.5</v>
      </c>
      <c r="N1463" s="17">
        <f t="shared" si="66"/>
        <v>41.4</v>
      </c>
      <c r="O1463" s="17">
        <v>28.9</v>
      </c>
      <c r="P1463" s="17">
        <v>40.4</v>
      </c>
      <c r="Q1463" s="17">
        <v>26.9</v>
      </c>
      <c r="R1463" s="17">
        <f t="shared" si="67"/>
        <v>14.5</v>
      </c>
      <c r="S1463" s="17">
        <v>19.100000000000001</v>
      </c>
      <c r="T1463" s="17">
        <f t="shared" si="68"/>
        <v>9.7999999999999972</v>
      </c>
    </row>
    <row r="1464" spans="1:20" x14ac:dyDescent="0.35">
      <c r="A1464" s="14" t="s">
        <v>103</v>
      </c>
      <c r="B1464" s="15" t="s">
        <v>104</v>
      </c>
      <c r="C1464" s="15" t="s">
        <v>64</v>
      </c>
      <c r="D1464" s="15" t="s">
        <v>100</v>
      </c>
      <c r="E1464" s="15" t="s">
        <v>92</v>
      </c>
      <c r="F1464" s="15" t="s">
        <v>67</v>
      </c>
      <c r="G1464" s="15" t="s">
        <v>74</v>
      </c>
      <c r="H1464" s="15" t="s">
        <v>70</v>
      </c>
      <c r="I1464" s="16">
        <v>15738</v>
      </c>
      <c r="J1464" s="16">
        <v>12079</v>
      </c>
      <c r="K1464" s="16">
        <v>15472</v>
      </c>
      <c r="L1464" s="17">
        <v>111.3</v>
      </c>
      <c r="M1464" s="17">
        <v>9.5</v>
      </c>
      <c r="N1464" s="17">
        <f t="shared" si="66"/>
        <v>101.8</v>
      </c>
      <c r="O1464" s="17">
        <v>75.5</v>
      </c>
      <c r="P1464" s="17">
        <v>98.7</v>
      </c>
      <c r="Q1464" s="17">
        <v>57.5</v>
      </c>
      <c r="R1464" s="17">
        <f t="shared" si="67"/>
        <v>44.3</v>
      </c>
      <c r="S1464" s="17">
        <v>43.6</v>
      </c>
      <c r="T1464" s="17">
        <f t="shared" si="68"/>
        <v>31.9</v>
      </c>
    </row>
    <row r="1465" spans="1:20" x14ac:dyDescent="0.35">
      <c r="A1465" s="14" t="s">
        <v>103</v>
      </c>
      <c r="B1465" s="15" t="s">
        <v>104</v>
      </c>
      <c r="C1465" s="15" t="s">
        <v>64</v>
      </c>
      <c r="D1465" s="15" t="s">
        <v>100</v>
      </c>
      <c r="E1465" s="15" t="s">
        <v>92</v>
      </c>
      <c r="F1465" s="15" t="s">
        <v>67</v>
      </c>
      <c r="G1465" s="15" t="s">
        <v>74</v>
      </c>
      <c r="H1465" s="15" t="s">
        <v>71</v>
      </c>
      <c r="I1465" s="16">
        <v>16650</v>
      </c>
      <c r="J1465" s="16">
        <v>13016</v>
      </c>
      <c r="K1465" s="16">
        <v>16518</v>
      </c>
      <c r="L1465" s="17">
        <v>148.5</v>
      </c>
      <c r="M1465" s="17">
        <v>12.3</v>
      </c>
      <c r="N1465" s="17">
        <f t="shared" si="66"/>
        <v>136.19999999999999</v>
      </c>
      <c r="O1465" s="17">
        <v>101.6</v>
      </c>
      <c r="P1465" s="17">
        <v>133.80000000000001</v>
      </c>
      <c r="Q1465" s="17">
        <v>86.4</v>
      </c>
      <c r="R1465" s="17">
        <f t="shared" si="67"/>
        <v>49.799999999999983</v>
      </c>
      <c r="S1465" s="17">
        <v>65.599999999999994</v>
      </c>
      <c r="T1465" s="17">
        <f t="shared" si="68"/>
        <v>36</v>
      </c>
    </row>
    <row r="1466" spans="1:20" x14ac:dyDescent="0.35">
      <c r="A1466" s="14" t="s">
        <v>103</v>
      </c>
      <c r="B1466" s="15" t="s">
        <v>104</v>
      </c>
      <c r="C1466" s="15" t="s">
        <v>64</v>
      </c>
      <c r="D1466" s="15" t="s">
        <v>100</v>
      </c>
      <c r="E1466" s="15" t="s">
        <v>92</v>
      </c>
      <c r="F1466" s="15" t="s">
        <v>67</v>
      </c>
      <c r="G1466" s="15" t="s">
        <v>75</v>
      </c>
      <c r="H1466" s="15" t="s">
        <v>71</v>
      </c>
      <c r="I1466" s="16">
        <v>12167</v>
      </c>
      <c r="J1466" s="16">
        <v>9485</v>
      </c>
      <c r="K1466" s="16">
        <v>11936</v>
      </c>
      <c r="L1466" s="17">
        <v>107.8</v>
      </c>
      <c r="M1466" s="17">
        <v>9.4</v>
      </c>
      <c r="N1466" s="17">
        <f t="shared" si="66"/>
        <v>98.399999999999991</v>
      </c>
      <c r="O1466" s="17">
        <v>74</v>
      </c>
      <c r="P1466" s="17">
        <v>95.2</v>
      </c>
      <c r="Q1466" s="17">
        <v>60.2</v>
      </c>
      <c r="R1466" s="17">
        <f t="shared" si="67"/>
        <v>38.199999999999989</v>
      </c>
      <c r="S1466" s="17">
        <v>45.8</v>
      </c>
      <c r="T1466" s="17">
        <f t="shared" si="68"/>
        <v>28.200000000000003</v>
      </c>
    </row>
    <row r="1467" spans="1:20" x14ac:dyDescent="0.35">
      <c r="A1467" s="14" t="s">
        <v>103</v>
      </c>
      <c r="B1467" s="15" t="s">
        <v>104</v>
      </c>
      <c r="C1467" s="15" t="s">
        <v>64</v>
      </c>
      <c r="D1467" s="15" t="s">
        <v>100</v>
      </c>
      <c r="E1467" s="15" t="s">
        <v>92</v>
      </c>
      <c r="F1467" s="15" t="s">
        <v>67</v>
      </c>
      <c r="G1467" s="15" t="s">
        <v>76</v>
      </c>
      <c r="H1467" s="15" t="s">
        <v>72</v>
      </c>
      <c r="I1467" s="16">
        <v>2683</v>
      </c>
      <c r="J1467" s="16">
        <v>2033</v>
      </c>
      <c r="K1467" s="16">
        <v>2637</v>
      </c>
      <c r="L1467" s="17">
        <v>39</v>
      </c>
      <c r="M1467" s="17">
        <v>3.1</v>
      </c>
      <c r="N1467" s="17">
        <f t="shared" si="66"/>
        <v>35.9</v>
      </c>
      <c r="O1467" s="17">
        <v>26.1</v>
      </c>
      <c r="P1467" s="17">
        <v>35.299999999999997</v>
      </c>
      <c r="Q1467" s="17">
        <v>21.7</v>
      </c>
      <c r="R1467" s="17">
        <f t="shared" si="67"/>
        <v>14.2</v>
      </c>
      <c r="S1467" s="17">
        <v>16</v>
      </c>
      <c r="T1467" s="17">
        <f t="shared" si="68"/>
        <v>10.100000000000001</v>
      </c>
    </row>
    <row r="1468" spans="1:20" x14ac:dyDescent="0.35">
      <c r="A1468" s="14" t="s">
        <v>103</v>
      </c>
      <c r="B1468" s="15" t="s">
        <v>104</v>
      </c>
      <c r="C1468" s="15" t="s">
        <v>64</v>
      </c>
      <c r="D1468" s="15" t="s">
        <v>100</v>
      </c>
      <c r="E1468" s="15" t="s">
        <v>92</v>
      </c>
      <c r="F1468" s="15" t="s">
        <v>67</v>
      </c>
      <c r="G1468" s="15" t="s">
        <v>77</v>
      </c>
      <c r="H1468" s="15" t="s">
        <v>71</v>
      </c>
      <c r="I1468" s="16">
        <v>6305</v>
      </c>
      <c r="J1468" s="16">
        <v>4878</v>
      </c>
      <c r="K1468" s="16">
        <v>6192</v>
      </c>
      <c r="L1468" s="17">
        <v>56.3</v>
      </c>
      <c r="M1468" s="17">
        <v>3.9</v>
      </c>
      <c r="N1468" s="17">
        <f t="shared" si="66"/>
        <v>52.4</v>
      </c>
      <c r="O1468" s="17">
        <v>38.6</v>
      </c>
      <c r="P1468" s="17">
        <v>51.3</v>
      </c>
      <c r="Q1468" s="17">
        <v>32.1</v>
      </c>
      <c r="R1468" s="17">
        <f t="shared" si="67"/>
        <v>20.299999999999997</v>
      </c>
      <c r="S1468" s="17">
        <v>24.1</v>
      </c>
      <c r="T1468" s="17">
        <f t="shared" si="68"/>
        <v>14.5</v>
      </c>
    </row>
    <row r="1469" spans="1:20" x14ac:dyDescent="0.35">
      <c r="A1469" s="14" t="s">
        <v>103</v>
      </c>
      <c r="B1469" s="15" t="s">
        <v>104</v>
      </c>
      <c r="C1469" s="15" t="s">
        <v>64</v>
      </c>
      <c r="D1469" s="15" t="s">
        <v>100</v>
      </c>
      <c r="E1469" s="15" t="s">
        <v>92</v>
      </c>
      <c r="F1469" s="15" t="s">
        <v>67</v>
      </c>
      <c r="G1469" s="15" t="s">
        <v>78</v>
      </c>
      <c r="H1469" s="15" t="s">
        <v>71</v>
      </c>
      <c r="I1469" s="16">
        <v>9621</v>
      </c>
      <c r="J1469" s="16">
        <v>7535</v>
      </c>
      <c r="K1469" s="16">
        <v>9449</v>
      </c>
      <c r="L1469" s="17">
        <v>83.3</v>
      </c>
      <c r="M1469" s="17">
        <v>7</v>
      </c>
      <c r="N1469" s="17">
        <f t="shared" si="66"/>
        <v>76.3</v>
      </c>
      <c r="O1469" s="17">
        <v>57.4</v>
      </c>
      <c r="P1469" s="17">
        <v>74.3</v>
      </c>
      <c r="Q1469" s="17">
        <v>46.4</v>
      </c>
      <c r="R1469" s="17">
        <f t="shared" si="67"/>
        <v>29.9</v>
      </c>
      <c r="S1469" s="17">
        <v>35.6</v>
      </c>
      <c r="T1469" s="17">
        <f t="shared" si="68"/>
        <v>21.799999999999997</v>
      </c>
    </row>
    <row r="1470" spans="1:20" x14ac:dyDescent="0.35">
      <c r="A1470" s="14" t="s">
        <v>103</v>
      </c>
      <c r="B1470" s="15" t="s">
        <v>104</v>
      </c>
      <c r="C1470" s="15" t="s">
        <v>64</v>
      </c>
      <c r="D1470" s="15" t="s">
        <v>100</v>
      </c>
      <c r="E1470" s="15" t="s">
        <v>92</v>
      </c>
      <c r="F1470" s="15" t="s">
        <v>79</v>
      </c>
      <c r="G1470" s="15" t="s">
        <v>80</v>
      </c>
      <c r="H1470" s="15" t="s">
        <v>71</v>
      </c>
      <c r="I1470" s="16">
        <v>12930</v>
      </c>
      <c r="J1470" s="16">
        <v>10040</v>
      </c>
      <c r="K1470" s="16">
        <v>12787</v>
      </c>
      <c r="L1470" s="17">
        <v>74.3</v>
      </c>
      <c r="M1470" s="17">
        <v>6.5</v>
      </c>
      <c r="N1470" s="17">
        <f t="shared" si="66"/>
        <v>67.8</v>
      </c>
      <c r="O1470" s="17">
        <v>50.5</v>
      </c>
      <c r="P1470" s="17">
        <v>66.400000000000006</v>
      </c>
      <c r="Q1470" s="17">
        <v>40.5</v>
      </c>
      <c r="R1470" s="17">
        <f t="shared" si="67"/>
        <v>27.299999999999997</v>
      </c>
      <c r="S1470" s="17">
        <v>30.8</v>
      </c>
      <c r="T1470" s="17">
        <f t="shared" si="68"/>
        <v>19.7</v>
      </c>
    </row>
    <row r="1471" spans="1:20" x14ac:dyDescent="0.35">
      <c r="A1471" s="14" t="s">
        <v>103</v>
      </c>
      <c r="B1471" s="15" t="s">
        <v>104</v>
      </c>
      <c r="C1471" s="15" t="s">
        <v>64</v>
      </c>
      <c r="D1471" s="15" t="s">
        <v>100</v>
      </c>
      <c r="E1471" s="15" t="s">
        <v>92</v>
      </c>
      <c r="F1471" s="15" t="s">
        <v>81</v>
      </c>
      <c r="G1471" s="15" t="s">
        <v>82</v>
      </c>
      <c r="H1471" s="15" t="s">
        <v>71</v>
      </c>
      <c r="I1471" s="16">
        <v>3954</v>
      </c>
      <c r="J1471" s="16">
        <v>3004</v>
      </c>
      <c r="K1471" s="16">
        <v>3881</v>
      </c>
      <c r="L1471" s="17">
        <v>46.1</v>
      </c>
      <c r="M1471" s="17">
        <v>3.8</v>
      </c>
      <c r="N1471" s="17">
        <f t="shared" si="66"/>
        <v>42.300000000000004</v>
      </c>
      <c r="O1471" s="17">
        <v>30.7</v>
      </c>
      <c r="P1471" s="17">
        <v>41.5</v>
      </c>
      <c r="Q1471" s="17">
        <v>25.8</v>
      </c>
      <c r="R1471" s="17">
        <f t="shared" si="67"/>
        <v>16.500000000000004</v>
      </c>
      <c r="S1471" s="17">
        <v>18.899999999999999</v>
      </c>
      <c r="T1471" s="17">
        <f t="shared" si="68"/>
        <v>11.8</v>
      </c>
    </row>
    <row r="1472" spans="1:20" x14ac:dyDescent="0.35">
      <c r="A1472" s="14" t="s">
        <v>103</v>
      </c>
      <c r="B1472" s="15" t="s">
        <v>104</v>
      </c>
      <c r="C1472" s="15" t="s">
        <v>64</v>
      </c>
      <c r="D1472" s="15" t="s">
        <v>100</v>
      </c>
      <c r="E1472" s="15" t="s">
        <v>92</v>
      </c>
      <c r="F1472" s="15" t="s">
        <v>83</v>
      </c>
      <c r="G1472" s="15" t="s">
        <v>84</v>
      </c>
      <c r="H1472" s="15" t="s">
        <v>72</v>
      </c>
      <c r="I1472" s="16">
        <v>2133</v>
      </c>
      <c r="J1472" s="16">
        <v>1466</v>
      </c>
      <c r="K1472" s="16">
        <v>2116</v>
      </c>
      <c r="L1472" s="17">
        <v>80.099999999999994</v>
      </c>
      <c r="M1472" s="17">
        <v>6.6</v>
      </c>
      <c r="N1472" s="17">
        <f t="shared" si="66"/>
        <v>73.5</v>
      </c>
      <c r="O1472" s="17">
        <v>48</v>
      </c>
      <c r="P1472" s="17">
        <v>71.7</v>
      </c>
      <c r="Q1472" s="17">
        <v>42.7</v>
      </c>
      <c r="R1472" s="17">
        <f t="shared" si="67"/>
        <v>30.799999999999997</v>
      </c>
      <c r="S1472" s="17">
        <v>28.4</v>
      </c>
      <c r="T1472" s="17">
        <f t="shared" si="68"/>
        <v>19.600000000000001</v>
      </c>
    </row>
    <row r="1473" spans="1:20" x14ac:dyDescent="0.35">
      <c r="A1473" s="14" t="s">
        <v>103</v>
      </c>
      <c r="B1473" s="15" t="s">
        <v>104</v>
      </c>
      <c r="C1473" s="15" t="s">
        <v>64</v>
      </c>
      <c r="D1473" s="15" t="s">
        <v>100</v>
      </c>
      <c r="E1473" s="15" t="s">
        <v>92</v>
      </c>
      <c r="F1473" s="15" t="s">
        <v>85</v>
      </c>
      <c r="G1473" s="15" t="s">
        <v>86</v>
      </c>
      <c r="H1473" s="15" t="s">
        <v>72</v>
      </c>
      <c r="I1473" s="16">
        <v>1897</v>
      </c>
      <c r="J1473" s="16">
        <v>1459</v>
      </c>
      <c r="K1473" s="16">
        <v>1855</v>
      </c>
      <c r="L1473" s="17">
        <v>41.9</v>
      </c>
      <c r="M1473" s="17">
        <v>3.6</v>
      </c>
      <c r="N1473" s="17">
        <f t="shared" si="66"/>
        <v>38.299999999999997</v>
      </c>
      <c r="O1473" s="17">
        <v>27.9</v>
      </c>
      <c r="P1473" s="17">
        <v>37.6</v>
      </c>
      <c r="Q1473" s="17">
        <v>25.3</v>
      </c>
      <c r="R1473" s="17">
        <f t="shared" si="67"/>
        <v>12.999999999999996</v>
      </c>
      <c r="S1473" s="17">
        <v>18.8</v>
      </c>
      <c r="T1473" s="17">
        <f t="shared" si="68"/>
        <v>9.0999999999999979</v>
      </c>
    </row>
  </sheetData>
  <mergeCells count="2">
    <mergeCell ref="A1:T1"/>
    <mergeCell ref="A2:T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40009"/>
  </sheetPr>
  <dimension ref="A1:I108"/>
  <sheetViews>
    <sheetView workbookViewId="0">
      <pane ySplit="3" topLeftCell="A4" activePane="bottomLeft" state="frozen"/>
      <selection pane="bottomLeft" sqref="A1:I1"/>
    </sheetView>
  </sheetViews>
  <sheetFormatPr defaultRowHeight="14.5" x14ac:dyDescent="0.35"/>
  <cols>
    <col min="1" max="1" width="9.7265625" customWidth="1"/>
    <col min="2" max="2" width="8.7265625" customWidth="1"/>
    <col min="3" max="3" width="16.7265625" customWidth="1"/>
    <col min="4" max="4" width="13.7265625" customWidth="1"/>
    <col min="5" max="5" width="21.7265625" customWidth="1"/>
    <col min="6" max="6" width="14.7265625" customWidth="1"/>
    <col min="7" max="7" width="16.7265625" customWidth="1"/>
    <col min="8" max="8" width="14.7265625" customWidth="1"/>
    <col min="9" max="9" width="17.7265625" customWidth="1"/>
  </cols>
  <sheetData>
    <row r="1" spans="1:9" ht="27.75" customHeight="1" x14ac:dyDescent="0.35">
      <c r="A1" s="38" t="s">
        <v>105</v>
      </c>
      <c r="B1" s="39"/>
      <c r="C1" s="39"/>
      <c r="D1" s="39"/>
      <c r="E1" s="39"/>
      <c r="F1" s="39"/>
      <c r="G1" s="39"/>
      <c r="H1" s="39"/>
      <c r="I1" s="39"/>
    </row>
    <row r="2" spans="1:9" x14ac:dyDescent="0.35">
      <c r="A2" s="40" t="s">
        <v>106</v>
      </c>
      <c r="B2" s="39"/>
      <c r="C2" s="39"/>
      <c r="D2" s="39"/>
      <c r="E2" s="39"/>
      <c r="F2" s="39"/>
      <c r="G2" s="39"/>
      <c r="H2" s="39"/>
      <c r="I2" s="39"/>
    </row>
    <row r="3" spans="1:9" ht="32.25" customHeight="1" x14ac:dyDescent="0.35">
      <c r="A3" s="8" t="s">
        <v>42</v>
      </c>
      <c r="B3" s="4" t="s">
        <v>43</v>
      </c>
      <c r="C3" s="4" t="s">
        <v>44</v>
      </c>
      <c r="D3" s="4" t="s">
        <v>45</v>
      </c>
      <c r="E3" s="4" t="s">
        <v>46</v>
      </c>
      <c r="F3" s="4" t="s">
        <v>107</v>
      </c>
      <c r="G3" s="4" t="s">
        <v>108</v>
      </c>
      <c r="H3" s="4" t="s">
        <v>109</v>
      </c>
      <c r="I3" s="9" t="s">
        <v>110</v>
      </c>
    </row>
    <row r="4" spans="1:9" x14ac:dyDescent="0.35">
      <c r="A4" s="10" t="s">
        <v>62</v>
      </c>
      <c r="B4" s="11" t="s">
        <v>63</v>
      </c>
      <c r="C4" s="11" t="s">
        <v>64</v>
      </c>
      <c r="D4" s="11" t="s">
        <v>65</v>
      </c>
      <c r="E4" s="11" t="s">
        <v>66</v>
      </c>
      <c r="F4" s="12">
        <v>2432</v>
      </c>
      <c r="G4" s="12">
        <v>2268</v>
      </c>
      <c r="H4" s="12">
        <v>82</v>
      </c>
      <c r="I4" s="12">
        <v>76</v>
      </c>
    </row>
    <row r="5" spans="1:9" x14ac:dyDescent="0.35">
      <c r="A5" s="14" t="s">
        <v>62</v>
      </c>
      <c r="B5" s="15" t="s">
        <v>63</v>
      </c>
      <c r="C5" s="15" t="s">
        <v>64</v>
      </c>
      <c r="D5" s="15" t="s">
        <v>65</v>
      </c>
      <c r="E5" s="15" t="s">
        <v>89</v>
      </c>
      <c r="F5" s="16">
        <v>81906</v>
      </c>
      <c r="G5" s="16">
        <v>78147</v>
      </c>
      <c r="H5" s="16">
        <v>737</v>
      </c>
      <c r="I5" s="16">
        <v>692</v>
      </c>
    </row>
    <row r="6" spans="1:9" x14ac:dyDescent="0.35">
      <c r="A6" s="14" t="s">
        <v>62</v>
      </c>
      <c r="B6" s="15" t="s">
        <v>63</v>
      </c>
      <c r="C6" s="15" t="s">
        <v>64</v>
      </c>
      <c r="D6" s="15" t="s">
        <v>65</v>
      </c>
      <c r="E6" s="15" t="s">
        <v>90</v>
      </c>
      <c r="F6" s="16">
        <v>1588</v>
      </c>
      <c r="G6" s="16">
        <v>1480</v>
      </c>
      <c r="H6" s="16">
        <v>35</v>
      </c>
      <c r="I6" s="16">
        <v>32</v>
      </c>
    </row>
    <row r="7" spans="1:9" x14ac:dyDescent="0.35">
      <c r="A7" s="14" t="s">
        <v>62</v>
      </c>
      <c r="B7" s="15" t="s">
        <v>63</v>
      </c>
      <c r="C7" s="15" t="s">
        <v>64</v>
      </c>
      <c r="D7" s="15" t="s">
        <v>65</v>
      </c>
      <c r="E7" s="15" t="s">
        <v>91</v>
      </c>
      <c r="F7" s="16">
        <v>24670</v>
      </c>
      <c r="G7" s="16">
        <v>22926</v>
      </c>
      <c r="H7" s="16">
        <v>368</v>
      </c>
      <c r="I7" s="16">
        <v>324</v>
      </c>
    </row>
    <row r="8" spans="1:9" x14ac:dyDescent="0.35">
      <c r="A8" s="14" t="s">
        <v>62</v>
      </c>
      <c r="B8" s="15" t="s">
        <v>63</v>
      </c>
      <c r="C8" s="15" t="s">
        <v>64</v>
      </c>
      <c r="D8" s="15" t="s">
        <v>65</v>
      </c>
      <c r="E8" s="15" t="s">
        <v>92</v>
      </c>
      <c r="F8" s="16">
        <v>38300</v>
      </c>
      <c r="G8" s="16">
        <v>28018</v>
      </c>
      <c r="H8" s="16">
        <v>206</v>
      </c>
      <c r="I8" s="16">
        <v>181</v>
      </c>
    </row>
    <row r="9" spans="1:9" x14ac:dyDescent="0.35">
      <c r="A9" s="14" t="s">
        <v>62</v>
      </c>
      <c r="B9" s="15" t="s">
        <v>63</v>
      </c>
      <c r="C9" s="15" t="s">
        <v>93</v>
      </c>
      <c r="D9" s="15" t="s">
        <v>94</v>
      </c>
      <c r="E9" s="15" t="s">
        <v>66</v>
      </c>
      <c r="F9" s="16">
        <v>1303</v>
      </c>
      <c r="G9" s="16">
        <v>1193</v>
      </c>
      <c r="H9" s="16">
        <v>45</v>
      </c>
      <c r="I9" s="16">
        <v>38</v>
      </c>
    </row>
    <row r="10" spans="1:9" x14ac:dyDescent="0.35">
      <c r="A10" s="14" t="s">
        <v>62</v>
      </c>
      <c r="B10" s="15" t="s">
        <v>63</v>
      </c>
      <c r="C10" s="15" t="s">
        <v>93</v>
      </c>
      <c r="D10" s="15" t="s">
        <v>94</v>
      </c>
      <c r="E10" s="15" t="s">
        <v>89</v>
      </c>
      <c r="F10" s="16">
        <v>45916</v>
      </c>
      <c r="G10" s="16">
        <v>41981</v>
      </c>
      <c r="H10" s="16">
        <v>355</v>
      </c>
      <c r="I10" s="16">
        <v>331</v>
      </c>
    </row>
    <row r="11" spans="1:9" x14ac:dyDescent="0.35">
      <c r="A11" s="14" t="s">
        <v>62</v>
      </c>
      <c r="B11" s="15" t="s">
        <v>63</v>
      </c>
      <c r="C11" s="15" t="s">
        <v>93</v>
      </c>
      <c r="D11" s="15" t="s">
        <v>94</v>
      </c>
      <c r="E11" s="15" t="s">
        <v>90</v>
      </c>
      <c r="F11" s="16">
        <v>906</v>
      </c>
      <c r="G11" s="16">
        <v>849</v>
      </c>
      <c r="H11" s="16">
        <v>19</v>
      </c>
      <c r="I11" s="16">
        <v>17</v>
      </c>
    </row>
    <row r="12" spans="1:9" x14ac:dyDescent="0.35">
      <c r="A12" s="14" t="s">
        <v>62</v>
      </c>
      <c r="B12" s="15" t="s">
        <v>63</v>
      </c>
      <c r="C12" s="15" t="s">
        <v>93</v>
      </c>
      <c r="D12" s="15" t="s">
        <v>94</v>
      </c>
      <c r="E12" s="15" t="s">
        <v>91</v>
      </c>
      <c r="F12" s="16">
        <v>13157</v>
      </c>
      <c r="G12" s="16">
        <v>12193</v>
      </c>
      <c r="H12" s="16">
        <v>161</v>
      </c>
      <c r="I12" s="16">
        <v>137</v>
      </c>
    </row>
    <row r="13" spans="1:9" x14ac:dyDescent="0.35">
      <c r="A13" s="14" t="s">
        <v>62</v>
      </c>
      <c r="B13" s="15" t="s">
        <v>63</v>
      </c>
      <c r="C13" s="15" t="s">
        <v>93</v>
      </c>
      <c r="D13" s="15" t="s">
        <v>94</v>
      </c>
      <c r="E13" s="15" t="s">
        <v>92</v>
      </c>
      <c r="F13" s="16">
        <v>21317</v>
      </c>
      <c r="G13" s="16">
        <v>16569</v>
      </c>
      <c r="H13" s="16">
        <v>124</v>
      </c>
      <c r="I13" s="16">
        <v>115</v>
      </c>
    </row>
    <row r="14" spans="1:9" x14ac:dyDescent="0.35">
      <c r="A14" s="14" t="s">
        <v>62</v>
      </c>
      <c r="B14" s="15" t="s">
        <v>63</v>
      </c>
      <c r="C14" s="15" t="s">
        <v>93</v>
      </c>
      <c r="D14" s="15" t="s">
        <v>96</v>
      </c>
      <c r="E14" s="15" t="s">
        <v>66</v>
      </c>
      <c r="F14" s="16">
        <v>1189</v>
      </c>
      <c r="G14" s="16">
        <v>1072</v>
      </c>
      <c r="H14" s="16">
        <v>51</v>
      </c>
      <c r="I14" s="16">
        <v>43</v>
      </c>
    </row>
    <row r="15" spans="1:9" x14ac:dyDescent="0.35">
      <c r="A15" s="14" t="s">
        <v>62</v>
      </c>
      <c r="B15" s="15" t="s">
        <v>63</v>
      </c>
      <c r="C15" s="15" t="s">
        <v>93</v>
      </c>
      <c r="D15" s="15" t="s">
        <v>96</v>
      </c>
      <c r="E15" s="15" t="s">
        <v>89</v>
      </c>
      <c r="F15" s="16">
        <v>41643</v>
      </c>
      <c r="G15" s="16">
        <v>37553</v>
      </c>
      <c r="H15" s="16">
        <v>284</v>
      </c>
      <c r="I15" s="16">
        <v>253</v>
      </c>
    </row>
    <row r="16" spans="1:9" x14ac:dyDescent="0.35">
      <c r="A16" s="14" t="s">
        <v>62</v>
      </c>
      <c r="B16" s="15" t="s">
        <v>63</v>
      </c>
      <c r="C16" s="15" t="s">
        <v>93</v>
      </c>
      <c r="D16" s="15" t="s">
        <v>96</v>
      </c>
      <c r="E16" s="15" t="s">
        <v>90</v>
      </c>
      <c r="F16" s="16">
        <v>781</v>
      </c>
      <c r="G16" s="16">
        <v>706</v>
      </c>
      <c r="H16" s="16">
        <v>21</v>
      </c>
      <c r="I16" s="16">
        <v>20</v>
      </c>
    </row>
    <row r="17" spans="1:9" x14ac:dyDescent="0.35">
      <c r="A17" s="14" t="s">
        <v>62</v>
      </c>
      <c r="B17" s="15" t="s">
        <v>63</v>
      </c>
      <c r="C17" s="15" t="s">
        <v>93</v>
      </c>
      <c r="D17" s="15" t="s">
        <v>96</v>
      </c>
      <c r="E17" s="15" t="s">
        <v>91</v>
      </c>
      <c r="F17" s="16">
        <v>11969</v>
      </c>
      <c r="G17" s="16">
        <v>10921</v>
      </c>
      <c r="H17" s="16">
        <v>148</v>
      </c>
      <c r="I17" s="16">
        <v>128</v>
      </c>
    </row>
    <row r="18" spans="1:9" x14ac:dyDescent="0.35">
      <c r="A18" s="14" t="s">
        <v>62</v>
      </c>
      <c r="B18" s="15" t="s">
        <v>63</v>
      </c>
      <c r="C18" s="15" t="s">
        <v>93</v>
      </c>
      <c r="D18" s="15" t="s">
        <v>96</v>
      </c>
      <c r="E18" s="15" t="s">
        <v>92</v>
      </c>
      <c r="F18" s="16">
        <v>18698</v>
      </c>
      <c r="G18" s="16">
        <v>14675</v>
      </c>
      <c r="H18" s="16">
        <v>95</v>
      </c>
      <c r="I18" s="16">
        <v>88</v>
      </c>
    </row>
    <row r="19" spans="1:9" x14ac:dyDescent="0.35">
      <c r="A19" s="14" t="s">
        <v>62</v>
      </c>
      <c r="B19" s="15" t="s">
        <v>63</v>
      </c>
      <c r="C19" s="15" t="s">
        <v>93</v>
      </c>
      <c r="D19" s="15" t="s">
        <v>97</v>
      </c>
      <c r="E19" s="15" t="s">
        <v>66</v>
      </c>
      <c r="F19" s="16">
        <v>1019</v>
      </c>
      <c r="G19" s="16">
        <v>932</v>
      </c>
      <c r="H19" s="16">
        <v>39</v>
      </c>
      <c r="I19" s="16">
        <v>37</v>
      </c>
    </row>
    <row r="20" spans="1:9" x14ac:dyDescent="0.35">
      <c r="A20" s="14" t="s">
        <v>62</v>
      </c>
      <c r="B20" s="15" t="s">
        <v>63</v>
      </c>
      <c r="C20" s="15" t="s">
        <v>93</v>
      </c>
      <c r="D20" s="15" t="s">
        <v>97</v>
      </c>
      <c r="E20" s="15" t="s">
        <v>89</v>
      </c>
      <c r="F20" s="16">
        <v>35273</v>
      </c>
      <c r="G20" s="16">
        <v>32599</v>
      </c>
      <c r="H20" s="16">
        <v>275</v>
      </c>
      <c r="I20" s="16">
        <v>250</v>
      </c>
    </row>
    <row r="21" spans="1:9" x14ac:dyDescent="0.35">
      <c r="A21" s="14" t="s">
        <v>62</v>
      </c>
      <c r="B21" s="15" t="s">
        <v>63</v>
      </c>
      <c r="C21" s="15" t="s">
        <v>93</v>
      </c>
      <c r="D21" s="15" t="s">
        <v>97</v>
      </c>
      <c r="E21" s="15" t="s">
        <v>90</v>
      </c>
      <c r="F21" s="16">
        <v>682</v>
      </c>
      <c r="G21" s="16">
        <v>628</v>
      </c>
      <c r="H21" s="16">
        <v>18</v>
      </c>
      <c r="I21" s="16">
        <v>17</v>
      </c>
    </row>
    <row r="22" spans="1:9" x14ac:dyDescent="0.35">
      <c r="A22" s="14" t="s">
        <v>62</v>
      </c>
      <c r="B22" s="15" t="s">
        <v>63</v>
      </c>
      <c r="C22" s="15" t="s">
        <v>93</v>
      </c>
      <c r="D22" s="15" t="s">
        <v>97</v>
      </c>
      <c r="E22" s="15" t="s">
        <v>91</v>
      </c>
      <c r="F22" s="16">
        <v>10178</v>
      </c>
      <c r="G22" s="16">
        <v>9336</v>
      </c>
      <c r="H22" s="16">
        <v>145</v>
      </c>
      <c r="I22" s="16">
        <v>123</v>
      </c>
    </row>
    <row r="23" spans="1:9" x14ac:dyDescent="0.35">
      <c r="A23" s="14" t="s">
        <v>62</v>
      </c>
      <c r="B23" s="15" t="s">
        <v>63</v>
      </c>
      <c r="C23" s="15" t="s">
        <v>93</v>
      </c>
      <c r="D23" s="15" t="s">
        <v>97</v>
      </c>
      <c r="E23" s="15" t="s">
        <v>92</v>
      </c>
      <c r="F23" s="16">
        <v>15772</v>
      </c>
      <c r="G23" s="16">
        <v>11551</v>
      </c>
      <c r="H23" s="16">
        <v>76</v>
      </c>
      <c r="I23" s="16">
        <v>68</v>
      </c>
    </row>
    <row r="24" spans="1:9" x14ac:dyDescent="0.35">
      <c r="A24" s="14" t="s">
        <v>62</v>
      </c>
      <c r="B24" s="15" t="s">
        <v>63</v>
      </c>
      <c r="C24" s="15" t="s">
        <v>93</v>
      </c>
      <c r="D24" s="15" t="s">
        <v>98</v>
      </c>
      <c r="E24" s="15" t="s">
        <v>66</v>
      </c>
      <c r="F24" s="16">
        <v>807</v>
      </c>
      <c r="G24" s="16">
        <v>746</v>
      </c>
      <c r="H24" s="16">
        <v>33</v>
      </c>
      <c r="I24" s="16">
        <v>31</v>
      </c>
    </row>
    <row r="25" spans="1:9" x14ac:dyDescent="0.35">
      <c r="A25" s="14" t="s">
        <v>62</v>
      </c>
      <c r="B25" s="15" t="s">
        <v>63</v>
      </c>
      <c r="C25" s="15" t="s">
        <v>93</v>
      </c>
      <c r="D25" s="15" t="s">
        <v>98</v>
      </c>
      <c r="E25" s="15" t="s">
        <v>89</v>
      </c>
      <c r="F25" s="16">
        <v>26338</v>
      </c>
      <c r="G25" s="16">
        <v>23993</v>
      </c>
      <c r="H25" s="16">
        <v>196</v>
      </c>
      <c r="I25" s="16">
        <v>164</v>
      </c>
    </row>
    <row r="26" spans="1:9" x14ac:dyDescent="0.35">
      <c r="A26" s="14" t="s">
        <v>62</v>
      </c>
      <c r="B26" s="15" t="s">
        <v>63</v>
      </c>
      <c r="C26" s="15" t="s">
        <v>93</v>
      </c>
      <c r="D26" s="15" t="s">
        <v>98</v>
      </c>
      <c r="E26" s="15" t="s">
        <v>90</v>
      </c>
      <c r="F26" s="16">
        <v>532</v>
      </c>
      <c r="G26" s="16">
        <v>491</v>
      </c>
      <c r="H26" s="16">
        <v>11</v>
      </c>
      <c r="I26" s="16">
        <v>9</v>
      </c>
    </row>
    <row r="27" spans="1:9" x14ac:dyDescent="0.35">
      <c r="A27" s="14" t="s">
        <v>62</v>
      </c>
      <c r="B27" s="15" t="s">
        <v>63</v>
      </c>
      <c r="C27" s="15" t="s">
        <v>93</v>
      </c>
      <c r="D27" s="15" t="s">
        <v>98</v>
      </c>
      <c r="E27" s="15" t="s">
        <v>91</v>
      </c>
      <c r="F27" s="16">
        <v>8123</v>
      </c>
      <c r="G27" s="16">
        <v>7524</v>
      </c>
      <c r="H27" s="16">
        <v>108</v>
      </c>
      <c r="I27" s="16">
        <v>95</v>
      </c>
    </row>
    <row r="28" spans="1:9" x14ac:dyDescent="0.35">
      <c r="A28" s="14" t="s">
        <v>62</v>
      </c>
      <c r="B28" s="15" t="s">
        <v>63</v>
      </c>
      <c r="C28" s="15" t="s">
        <v>93</v>
      </c>
      <c r="D28" s="15" t="s">
        <v>98</v>
      </c>
      <c r="E28" s="15" t="s">
        <v>92</v>
      </c>
      <c r="F28" s="16">
        <v>12881</v>
      </c>
      <c r="G28" s="16">
        <v>10193</v>
      </c>
      <c r="H28" s="16">
        <v>64</v>
      </c>
      <c r="I28" s="16">
        <v>57</v>
      </c>
    </row>
    <row r="29" spans="1:9" x14ac:dyDescent="0.35">
      <c r="A29" s="14" t="s">
        <v>62</v>
      </c>
      <c r="B29" s="15" t="s">
        <v>63</v>
      </c>
      <c r="C29" s="15" t="s">
        <v>64</v>
      </c>
      <c r="D29" s="15" t="s">
        <v>99</v>
      </c>
      <c r="E29" s="15" t="s">
        <v>66</v>
      </c>
      <c r="F29" s="16">
        <v>602</v>
      </c>
      <c r="G29" s="16">
        <v>566</v>
      </c>
      <c r="H29" s="16">
        <v>23</v>
      </c>
      <c r="I29" s="16">
        <v>19</v>
      </c>
    </row>
    <row r="30" spans="1:9" x14ac:dyDescent="0.35">
      <c r="A30" s="14" t="s">
        <v>62</v>
      </c>
      <c r="B30" s="15" t="s">
        <v>63</v>
      </c>
      <c r="C30" s="15" t="s">
        <v>64</v>
      </c>
      <c r="D30" s="15" t="s">
        <v>99</v>
      </c>
      <c r="E30" s="15" t="s">
        <v>89</v>
      </c>
      <c r="F30" s="16">
        <v>20533</v>
      </c>
      <c r="G30" s="16">
        <v>19055</v>
      </c>
      <c r="H30" s="16">
        <v>155</v>
      </c>
      <c r="I30" s="16">
        <v>134</v>
      </c>
    </row>
    <row r="31" spans="1:9" x14ac:dyDescent="0.35">
      <c r="A31" s="14" t="s">
        <v>62</v>
      </c>
      <c r="B31" s="15" t="s">
        <v>63</v>
      </c>
      <c r="C31" s="15" t="s">
        <v>64</v>
      </c>
      <c r="D31" s="15" t="s">
        <v>99</v>
      </c>
      <c r="E31" s="15" t="s">
        <v>90</v>
      </c>
      <c r="F31" s="16">
        <v>388</v>
      </c>
      <c r="G31" s="16">
        <v>364</v>
      </c>
      <c r="H31" s="16">
        <v>11</v>
      </c>
      <c r="I31" s="16">
        <v>10</v>
      </c>
    </row>
    <row r="32" spans="1:9" x14ac:dyDescent="0.35">
      <c r="A32" s="14" t="s">
        <v>62</v>
      </c>
      <c r="B32" s="15" t="s">
        <v>63</v>
      </c>
      <c r="C32" s="15" t="s">
        <v>64</v>
      </c>
      <c r="D32" s="15" t="s">
        <v>99</v>
      </c>
      <c r="E32" s="15" t="s">
        <v>91</v>
      </c>
      <c r="F32" s="16">
        <v>5878</v>
      </c>
      <c r="G32" s="16">
        <v>5489</v>
      </c>
      <c r="H32" s="16">
        <v>80</v>
      </c>
      <c r="I32" s="16">
        <v>74</v>
      </c>
    </row>
    <row r="33" spans="1:9" x14ac:dyDescent="0.35">
      <c r="A33" s="14" t="s">
        <v>62</v>
      </c>
      <c r="B33" s="15" t="s">
        <v>63</v>
      </c>
      <c r="C33" s="15" t="s">
        <v>64</v>
      </c>
      <c r="D33" s="15" t="s">
        <v>99</v>
      </c>
      <c r="E33" s="15" t="s">
        <v>92</v>
      </c>
      <c r="F33" s="16">
        <v>9270</v>
      </c>
      <c r="G33" s="16">
        <v>6806</v>
      </c>
      <c r="H33" s="16">
        <v>56</v>
      </c>
      <c r="I33" s="16">
        <v>51</v>
      </c>
    </row>
    <row r="34" spans="1:9" x14ac:dyDescent="0.35">
      <c r="A34" s="14" t="s">
        <v>62</v>
      </c>
      <c r="B34" s="15" t="s">
        <v>63</v>
      </c>
      <c r="C34" s="15" t="s">
        <v>64</v>
      </c>
      <c r="D34" s="15" t="s">
        <v>100</v>
      </c>
      <c r="E34" s="15" t="s">
        <v>66</v>
      </c>
      <c r="F34" s="16">
        <v>192</v>
      </c>
      <c r="G34" s="16">
        <v>179</v>
      </c>
      <c r="H34" s="16">
        <v>7</v>
      </c>
      <c r="I34" s="16">
        <v>6</v>
      </c>
    </row>
    <row r="35" spans="1:9" x14ac:dyDescent="0.35">
      <c r="A35" s="14" t="s">
        <v>62</v>
      </c>
      <c r="B35" s="15" t="s">
        <v>63</v>
      </c>
      <c r="C35" s="15" t="s">
        <v>64</v>
      </c>
      <c r="D35" s="15" t="s">
        <v>100</v>
      </c>
      <c r="E35" s="15" t="s">
        <v>89</v>
      </c>
      <c r="F35" s="16">
        <v>6630</v>
      </c>
      <c r="G35" s="16">
        <v>6188</v>
      </c>
      <c r="H35" s="16">
        <v>50</v>
      </c>
      <c r="I35" s="16">
        <v>47</v>
      </c>
    </row>
    <row r="36" spans="1:9" x14ac:dyDescent="0.35">
      <c r="A36" s="14" t="s">
        <v>62</v>
      </c>
      <c r="B36" s="15" t="s">
        <v>63</v>
      </c>
      <c r="C36" s="15" t="s">
        <v>64</v>
      </c>
      <c r="D36" s="15" t="s">
        <v>100</v>
      </c>
      <c r="E36" s="15" t="s">
        <v>90</v>
      </c>
      <c r="F36" s="16">
        <v>131</v>
      </c>
      <c r="G36" s="16">
        <v>122</v>
      </c>
      <c r="H36" s="16">
        <v>6</v>
      </c>
      <c r="I36" s="16">
        <v>5</v>
      </c>
    </row>
    <row r="37" spans="1:9" x14ac:dyDescent="0.35">
      <c r="A37" s="14" t="s">
        <v>62</v>
      </c>
      <c r="B37" s="15" t="s">
        <v>63</v>
      </c>
      <c r="C37" s="15" t="s">
        <v>64</v>
      </c>
      <c r="D37" s="15" t="s">
        <v>100</v>
      </c>
      <c r="E37" s="15" t="s">
        <v>91</v>
      </c>
      <c r="F37" s="16">
        <v>1944</v>
      </c>
      <c r="G37" s="16">
        <v>1831</v>
      </c>
      <c r="H37" s="16">
        <v>27</v>
      </c>
      <c r="I37" s="16">
        <v>24</v>
      </c>
    </row>
    <row r="38" spans="1:9" x14ac:dyDescent="0.35">
      <c r="A38" s="14" t="s">
        <v>62</v>
      </c>
      <c r="B38" s="15" t="s">
        <v>63</v>
      </c>
      <c r="C38" s="15" t="s">
        <v>64</v>
      </c>
      <c r="D38" s="15" t="s">
        <v>100</v>
      </c>
      <c r="E38" s="15" t="s">
        <v>92</v>
      </c>
      <c r="F38" s="16">
        <v>2964</v>
      </c>
      <c r="G38" s="16">
        <v>2243</v>
      </c>
      <c r="H38" s="16">
        <v>16</v>
      </c>
      <c r="I38" s="16">
        <v>14</v>
      </c>
    </row>
    <row r="39" spans="1:9" x14ac:dyDescent="0.35">
      <c r="A39" s="14" t="s">
        <v>101</v>
      </c>
      <c r="B39" s="15" t="s">
        <v>102</v>
      </c>
      <c r="C39" s="15" t="s">
        <v>64</v>
      </c>
      <c r="D39" s="15" t="s">
        <v>65</v>
      </c>
      <c r="E39" s="15" t="s">
        <v>66</v>
      </c>
      <c r="F39" s="16">
        <v>2363</v>
      </c>
      <c r="G39" s="16">
        <v>2230</v>
      </c>
      <c r="H39" s="16">
        <v>98</v>
      </c>
      <c r="I39" s="16">
        <v>86</v>
      </c>
    </row>
    <row r="40" spans="1:9" x14ac:dyDescent="0.35">
      <c r="A40" s="14" t="s">
        <v>101</v>
      </c>
      <c r="B40" s="15" t="s">
        <v>102</v>
      </c>
      <c r="C40" s="15" t="s">
        <v>64</v>
      </c>
      <c r="D40" s="15" t="s">
        <v>65</v>
      </c>
      <c r="E40" s="15" t="s">
        <v>89</v>
      </c>
      <c r="F40" s="16">
        <v>84065</v>
      </c>
      <c r="G40" s="16">
        <v>79738</v>
      </c>
      <c r="H40" s="16">
        <v>678</v>
      </c>
      <c r="I40" s="16">
        <v>634</v>
      </c>
    </row>
    <row r="41" spans="1:9" x14ac:dyDescent="0.35">
      <c r="A41" s="14" t="s">
        <v>101</v>
      </c>
      <c r="B41" s="15" t="s">
        <v>102</v>
      </c>
      <c r="C41" s="15" t="s">
        <v>64</v>
      </c>
      <c r="D41" s="15" t="s">
        <v>65</v>
      </c>
      <c r="E41" s="15" t="s">
        <v>90</v>
      </c>
      <c r="F41" s="16">
        <v>1635</v>
      </c>
      <c r="G41" s="16">
        <v>1543</v>
      </c>
      <c r="H41" s="16">
        <v>41</v>
      </c>
      <c r="I41" s="16">
        <v>35</v>
      </c>
    </row>
    <row r="42" spans="1:9" x14ac:dyDescent="0.35">
      <c r="A42" s="14" t="s">
        <v>101</v>
      </c>
      <c r="B42" s="15" t="s">
        <v>102</v>
      </c>
      <c r="C42" s="15" t="s">
        <v>64</v>
      </c>
      <c r="D42" s="15" t="s">
        <v>65</v>
      </c>
      <c r="E42" s="15" t="s">
        <v>91</v>
      </c>
      <c r="F42" s="16">
        <v>24251</v>
      </c>
      <c r="G42" s="16">
        <v>22694</v>
      </c>
      <c r="H42" s="16">
        <v>324</v>
      </c>
      <c r="I42" s="16">
        <v>286</v>
      </c>
    </row>
    <row r="43" spans="1:9" x14ac:dyDescent="0.35">
      <c r="A43" s="14" t="s">
        <v>101</v>
      </c>
      <c r="B43" s="15" t="s">
        <v>102</v>
      </c>
      <c r="C43" s="15" t="s">
        <v>64</v>
      </c>
      <c r="D43" s="15" t="s">
        <v>65</v>
      </c>
      <c r="E43" s="15" t="s">
        <v>92</v>
      </c>
      <c r="F43" s="16">
        <v>37872</v>
      </c>
      <c r="G43" s="16">
        <v>29909</v>
      </c>
      <c r="H43" s="16">
        <v>236</v>
      </c>
      <c r="I43" s="16">
        <v>213</v>
      </c>
    </row>
    <row r="44" spans="1:9" x14ac:dyDescent="0.35">
      <c r="A44" s="14" t="s">
        <v>101</v>
      </c>
      <c r="B44" s="15" t="s">
        <v>102</v>
      </c>
      <c r="C44" s="15" t="s">
        <v>93</v>
      </c>
      <c r="D44" s="15" t="s">
        <v>94</v>
      </c>
      <c r="E44" s="15" t="s">
        <v>66</v>
      </c>
      <c r="F44" s="16">
        <v>1324</v>
      </c>
      <c r="G44" s="16">
        <v>1226</v>
      </c>
      <c r="H44" s="16">
        <v>56</v>
      </c>
      <c r="I44" s="16">
        <v>48</v>
      </c>
    </row>
    <row r="45" spans="1:9" x14ac:dyDescent="0.35">
      <c r="A45" s="14" t="s">
        <v>101</v>
      </c>
      <c r="B45" s="15" t="s">
        <v>102</v>
      </c>
      <c r="C45" s="15" t="s">
        <v>93</v>
      </c>
      <c r="D45" s="15" t="s">
        <v>94</v>
      </c>
      <c r="E45" s="15" t="s">
        <v>89</v>
      </c>
      <c r="F45" s="16">
        <v>45731</v>
      </c>
      <c r="G45" s="16">
        <v>42134</v>
      </c>
      <c r="H45" s="16">
        <v>400</v>
      </c>
      <c r="I45" s="16">
        <v>361</v>
      </c>
    </row>
    <row r="46" spans="1:9" x14ac:dyDescent="0.35">
      <c r="A46" s="14" t="s">
        <v>101</v>
      </c>
      <c r="B46" s="15" t="s">
        <v>102</v>
      </c>
      <c r="C46" s="15" t="s">
        <v>93</v>
      </c>
      <c r="D46" s="15" t="s">
        <v>94</v>
      </c>
      <c r="E46" s="15" t="s">
        <v>90</v>
      </c>
      <c r="F46" s="16">
        <v>893</v>
      </c>
      <c r="G46" s="16">
        <v>816</v>
      </c>
      <c r="H46" s="16">
        <v>21</v>
      </c>
      <c r="I46" s="16">
        <v>18</v>
      </c>
    </row>
    <row r="47" spans="1:9" x14ac:dyDescent="0.35">
      <c r="A47" s="14" t="s">
        <v>101</v>
      </c>
      <c r="B47" s="15" t="s">
        <v>102</v>
      </c>
      <c r="C47" s="15" t="s">
        <v>93</v>
      </c>
      <c r="D47" s="15" t="s">
        <v>94</v>
      </c>
      <c r="E47" s="15" t="s">
        <v>91</v>
      </c>
      <c r="F47" s="16">
        <v>13498</v>
      </c>
      <c r="G47" s="16">
        <v>12479</v>
      </c>
      <c r="H47" s="16">
        <v>170</v>
      </c>
      <c r="I47" s="16">
        <v>142</v>
      </c>
    </row>
    <row r="48" spans="1:9" x14ac:dyDescent="0.35">
      <c r="A48" s="14" t="s">
        <v>101</v>
      </c>
      <c r="B48" s="15" t="s">
        <v>102</v>
      </c>
      <c r="C48" s="15" t="s">
        <v>93</v>
      </c>
      <c r="D48" s="15" t="s">
        <v>94</v>
      </c>
      <c r="E48" s="15" t="s">
        <v>92</v>
      </c>
      <c r="F48" s="16">
        <v>21726</v>
      </c>
      <c r="G48" s="16">
        <v>16408</v>
      </c>
      <c r="H48" s="16">
        <v>109</v>
      </c>
      <c r="I48" s="16">
        <v>102</v>
      </c>
    </row>
    <row r="49" spans="1:9" x14ac:dyDescent="0.35">
      <c r="A49" s="14" t="s">
        <v>101</v>
      </c>
      <c r="B49" s="15" t="s">
        <v>102</v>
      </c>
      <c r="C49" s="15" t="s">
        <v>93</v>
      </c>
      <c r="D49" s="15" t="s">
        <v>96</v>
      </c>
      <c r="E49" s="15" t="s">
        <v>66</v>
      </c>
      <c r="F49" s="16">
        <v>1190</v>
      </c>
      <c r="G49" s="16">
        <v>1095</v>
      </c>
      <c r="H49" s="16">
        <v>46</v>
      </c>
      <c r="I49" s="16">
        <v>43</v>
      </c>
    </row>
    <row r="50" spans="1:9" x14ac:dyDescent="0.35">
      <c r="A50" s="14" t="s">
        <v>101</v>
      </c>
      <c r="B50" s="15" t="s">
        <v>102</v>
      </c>
      <c r="C50" s="15" t="s">
        <v>93</v>
      </c>
      <c r="D50" s="15" t="s">
        <v>96</v>
      </c>
      <c r="E50" s="15" t="s">
        <v>89</v>
      </c>
      <c r="F50" s="16">
        <v>42085</v>
      </c>
      <c r="G50" s="16">
        <v>37899</v>
      </c>
      <c r="H50" s="16">
        <v>402</v>
      </c>
      <c r="I50" s="16">
        <v>375</v>
      </c>
    </row>
    <row r="51" spans="1:9" x14ac:dyDescent="0.35">
      <c r="A51" s="14" t="s">
        <v>101</v>
      </c>
      <c r="B51" s="15" t="s">
        <v>102</v>
      </c>
      <c r="C51" s="15" t="s">
        <v>93</v>
      </c>
      <c r="D51" s="15" t="s">
        <v>96</v>
      </c>
      <c r="E51" s="15" t="s">
        <v>90</v>
      </c>
      <c r="F51" s="16">
        <v>801</v>
      </c>
      <c r="G51" s="16">
        <v>728</v>
      </c>
      <c r="H51" s="16">
        <v>19</v>
      </c>
      <c r="I51" s="16">
        <v>17</v>
      </c>
    </row>
    <row r="52" spans="1:9" x14ac:dyDescent="0.35">
      <c r="A52" s="14" t="s">
        <v>101</v>
      </c>
      <c r="B52" s="15" t="s">
        <v>102</v>
      </c>
      <c r="C52" s="15" t="s">
        <v>93</v>
      </c>
      <c r="D52" s="15" t="s">
        <v>96</v>
      </c>
      <c r="E52" s="15" t="s">
        <v>91</v>
      </c>
      <c r="F52" s="16">
        <v>12482</v>
      </c>
      <c r="G52" s="16">
        <v>11277</v>
      </c>
      <c r="H52" s="16">
        <v>153</v>
      </c>
      <c r="I52" s="16">
        <v>141</v>
      </c>
    </row>
    <row r="53" spans="1:9" x14ac:dyDescent="0.35">
      <c r="A53" s="14" t="s">
        <v>101</v>
      </c>
      <c r="B53" s="15" t="s">
        <v>102</v>
      </c>
      <c r="C53" s="15" t="s">
        <v>93</v>
      </c>
      <c r="D53" s="15" t="s">
        <v>96</v>
      </c>
      <c r="E53" s="15" t="s">
        <v>92</v>
      </c>
      <c r="F53" s="16">
        <v>19174</v>
      </c>
      <c r="G53" s="16">
        <v>14034</v>
      </c>
      <c r="H53" s="16">
        <v>119</v>
      </c>
      <c r="I53" s="16">
        <v>103</v>
      </c>
    </row>
    <row r="54" spans="1:9" x14ac:dyDescent="0.35">
      <c r="A54" s="14" t="s">
        <v>101</v>
      </c>
      <c r="B54" s="15" t="s">
        <v>102</v>
      </c>
      <c r="C54" s="15" t="s">
        <v>93</v>
      </c>
      <c r="D54" s="15" t="s">
        <v>97</v>
      </c>
      <c r="E54" s="15" t="s">
        <v>66</v>
      </c>
      <c r="F54" s="16">
        <v>995</v>
      </c>
      <c r="G54" s="16">
        <v>901</v>
      </c>
      <c r="H54" s="16">
        <v>37</v>
      </c>
      <c r="I54" s="16">
        <v>34</v>
      </c>
    </row>
    <row r="55" spans="1:9" x14ac:dyDescent="0.35">
      <c r="A55" s="14" t="s">
        <v>101</v>
      </c>
      <c r="B55" s="15" t="s">
        <v>102</v>
      </c>
      <c r="C55" s="15" t="s">
        <v>93</v>
      </c>
      <c r="D55" s="15" t="s">
        <v>97</v>
      </c>
      <c r="E55" s="15" t="s">
        <v>89</v>
      </c>
      <c r="F55" s="16">
        <v>34651</v>
      </c>
      <c r="G55" s="16">
        <v>31855</v>
      </c>
      <c r="H55" s="16">
        <v>294</v>
      </c>
      <c r="I55" s="16">
        <v>262</v>
      </c>
    </row>
    <row r="56" spans="1:9" x14ac:dyDescent="0.35">
      <c r="A56" s="14" t="s">
        <v>101</v>
      </c>
      <c r="B56" s="15" t="s">
        <v>102</v>
      </c>
      <c r="C56" s="15" t="s">
        <v>93</v>
      </c>
      <c r="D56" s="15" t="s">
        <v>97</v>
      </c>
      <c r="E56" s="15" t="s">
        <v>90</v>
      </c>
      <c r="F56" s="16">
        <v>660</v>
      </c>
      <c r="G56" s="16">
        <v>610</v>
      </c>
      <c r="H56" s="16">
        <v>20</v>
      </c>
      <c r="I56" s="16">
        <v>17</v>
      </c>
    </row>
    <row r="57" spans="1:9" x14ac:dyDescent="0.35">
      <c r="A57" s="14" t="s">
        <v>101</v>
      </c>
      <c r="B57" s="15" t="s">
        <v>102</v>
      </c>
      <c r="C57" s="15" t="s">
        <v>93</v>
      </c>
      <c r="D57" s="15" t="s">
        <v>97</v>
      </c>
      <c r="E57" s="15" t="s">
        <v>91</v>
      </c>
      <c r="F57" s="16">
        <v>10370</v>
      </c>
      <c r="G57" s="16">
        <v>9650</v>
      </c>
      <c r="H57" s="16">
        <v>153</v>
      </c>
      <c r="I57" s="16">
        <v>129</v>
      </c>
    </row>
    <row r="58" spans="1:9" x14ac:dyDescent="0.35">
      <c r="A58" s="14" t="s">
        <v>101</v>
      </c>
      <c r="B58" s="15" t="s">
        <v>102</v>
      </c>
      <c r="C58" s="15" t="s">
        <v>93</v>
      </c>
      <c r="D58" s="15" t="s">
        <v>97</v>
      </c>
      <c r="E58" s="15" t="s">
        <v>92</v>
      </c>
      <c r="F58" s="16">
        <v>15908</v>
      </c>
      <c r="G58" s="16">
        <v>11896</v>
      </c>
      <c r="H58" s="16">
        <v>91</v>
      </c>
      <c r="I58" s="16">
        <v>76</v>
      </c>
    </row>
    <row r="59" spans="1:9" x14ac:dyDescent="0.35">
      <c r="A59" s="14" t="s">
        <v>101</v>
      </c>
      <c r="B59" s="15" t="s">
        <v>102</v>
      </c>
      <c r="C59" s="15" t="s">
        <v>93</v>
      </c>
      <c r="D59" s="15" t="s">
        <v>98</v>
      </c>
      <c r="E59" s="15" t="s">
        <v>66</v>
      </c>
      <c r="F59" s="16">
        <v>810</v>
      </c>
      <c r="G59" s="16">
        <v>741</v>
      </c>
      <c r="H59" s="16">
        <v>36</v>
      </c>
      <c r="I59" s="16">
        <v>32</v>
      </c>
    </row>
    <row r="60" spans="1:9" x14ac:dyDescent="0.35">
      <c r="A60" s="14" t="s">
        <v>101</v>
      </c>
      <c r="B60" s="15" t="s">
        <v>102</v>
      </c>
      <c r="C60" s="15" t="s">
        <v>93</v>
      </c>
      <c r="D60" s="15" t="s">
        <v>98</v>
      </c>
      <c r="E60" s="15" t="s">
        <v>89</v>
      </c>
      <c r="F60" s="16">
        <v>27215</v>
      </c>
      <c r="G60" s="16">
        <v>25330</v>
      </c>
      <c r="H60" s="16">
        <v>228</v>
      </c>
      <c r="I60" s="16">
        <v>213</v>
      </c>
    </row>
    <row r="61" spans="1:9" x14ac:dyDescent="0.35">
      <c r="A61" s="14" t="s">
        <v>101</v>
      </c>
      <c r="B61" s="15" t="s">
        <v>102</v>
      </c>
      <c r="C61" s="15" t="s">
        <v>93</v>
      </c>
      <c r="D61" s="15" t="s">
        <v>98</v>
      </c>
      <c r="E61" s="15" t="s">
        <v>90</v>
      </c>
      <c r="F61" s="16">
        <v>549</v>
      </c>
      <c r="G61" s="16">
        <v>503</v>
      </c>
      <c r="H61" s="16">
        <v>13</v>
      </c>
      <c r="I61" s="16">
        <v>12</v>
      </c>
    </row>
    <row r="62" spans="1:9" x14ac:dyDescent="0.35">
      <c r="A62" s="14" t="s">
        <v>101</v>
      </c>
      <c r="B62" s="15" t="s">
        <v>102</v>
      </c>
      <c r="C62" s="15" t="s">
        <v>93</v>
      </c>
      <c r="D62" s="15" t="s">
        <v>98</v>
      </c>
      <c r="E62" s="15" t="s">
        <v>91</v>
      </c>
      <c r="F62" s="16">
        <v>8024</v>
      </c>
      <c r="G62" s="16">
        <v>7352</v>
      </c>
      <c r="H62" s="16">
        <v>115</v>
      </c>
      <c r="I62" s="16">
        <v>107</v>
      </c>
    </row>
    <row r="63" spans="1:9" x14ac:dyDescent="0.35">
      <c r="A63" s="14" t="s">
        <v>101</v>
      </c>
      <c r="B63" s="15" t="s">
        <v>102</v>
      </c>
      <c r="C63" s="15" t="s">
        <v>93</v>
      </c>
      <c r="D63" s="15" t="s">
        <v>98</v>
      </c>
      <c r="E63" s="15" t="s">
        <v>92</v>
      </c>
      <c r="F63" s="16">
        <v>13035</v>
      </c>
      <c r="G63" s="16">
        <v>10368</v>
      </c>
      <c r="H63" s="16">
        <v>66</v>
      </c>
      <c r="I63" s="16">
        <v>55</v>
      </c>
    </row>
    <row r="64" spans="1:9" x14ac:dyDescent="0.35">
      <c r="A64" s="14" t="s">
        <v>101</v>
      </c>
      <c r="B64" s="15" t="s">
        <v>102</v>
      </c>
      <c r="C64" s="15" t="s">
        <v>64</v>
      </c>
      <c r="D64" s="15" t="s">
        <v>99</v>
      </c>
      <c r="E64" s="15" t="s">
        <v>66</v>
      </c>
      <c r="F64" s="16">
        <v>614</v>
      </c>
      <c r="G64" s="16">
        <v>565</v>
      </c>
      <c r="H64" s="16">
        <v>22</v>
      </c>
      <c r="I64" s="16">
        <v>20</v>
      </c>
    </row>
    <row r="65" spans="1:9" x14ac:dyDescent="0.35">
      <c r="A65" s="14" t="s">
        <v>101</v>
      </c>
      <c r="B65" s="15" t="s">
        <v>102</v>
      </c>
      <c r="C65" s="15" t="s">
        <v>64</v>
      </c>
      <c r="D65" s="15" t="s">
        <v>99</v>
      </c>
      <c r="E65" s="15" t="s">
        <v>89</v>
      </c>
      <c r="F65" s="16">
        <v>20735</v>
      </c>
      <c r="G65" s="16">
        <v>19394</v>
      </c>
      <c r="H65" s="16">
        <v>196</v>
      </c>
      <c r="I65" s="16">
        <v>165</v>
      </c>
    </row>
    <row r="66" spans="1:9" x14ac:dyDescent="0.35">
      <c r="A66" s="14" t="s">
        <v>101</v>
      </c>
      <c r="B66" s="15" t="s">
        <v>102</v>
      </c>
      <c r="C66" s="15" t="s">
        <v>64</v>
      </c>
      <c r="D66" s="15" t="s">
        <v>99</v>
      </c>
      <c r="E66" s="15" t="s">
        <v>90</v>
      </c>
      <c r="F66" s="16">
        <v>405</v>
      </c>
      <c r="G66" s="16">
        <v>373</v>
      </c>
      <c r="H66" s="16">
        <v>11</v>
      </c>
      <c r="I66" s="16">
        <v>10</v>
      </c>
    </row>
    <row r="67" spans="1:9" x14ac:dyDescent="0.35">
      <c r="A67" s="14" t="s">
        <v>101</v>
      </c>
      <c r="B67" s="15" t="s">
        <v>102</v>
      </c>
      <c r="C67" s="15" t="s">
        <v>64</v>
      </c>
      <c r="D67" s="15" t="s">
        <v>99</v>
      </c>
      <c r="E67" s="15" t="s">
        <v>91</v>
      </c>
      <c r="F67" s="16">
        <v>5941</v>
      </c>
      <c r="G67" s="16">
        <v>5507</v>
      </c>
      <c r="H67" s="16">
        <v>80</v>
      </c>
      <c r="I67" s="16">
        <v>68</v>
      </c>
    </row>
    <row r="68" spans="1:9" x14ac:dyDescent="0.35">
      <c r="A68" s="14" t="s">
        <v>101</v>
      </c>
      <c r="B68" s="15" t="s">
        <v>102</v>
      </c>
      <c r="C68" s="15" t="s">
        <v>64</v>
      </c>
      <c r="D68" s="15" t="s">
        <v>99</v>
      </c>
      <c r="E68" s="15" t="s">
        <v>92</v>
      </c>
      <c r="F68" s="16">
        <v>9388</v>
      </c>
      <c r="G68" s="16">
        <v>7470</v>
      </c>
      <c r="H68" s="16">
        <v>45</v>
      </c>
      <c r="I68" s="16">
        <v>40</v>
      </c>
    </row>
    <row r="69" spans="1:9" x14ac:dyDescent="0.35">
      <c r="A69" s="14" t="s">
        <v>101</v>
      </c>
      <c r="B69" s="15" t="s">
        <v>102</v>
      </c>
      <c r="C69" s="15" t="s">
        <v>64</v>
      </c>
      <c r="D69" s="15" t="s">
        <v>100</v>
      </c>
      <c r="E69" s="15" t="s">
        <v>66</v>
      </c>
      <c r="F69" s="16">
        <v>189</v>
      </c>
      <c r="G69" s="16">
        <v>179</v>
      </c>
      <c r="H69" s="16">
        <v>7</v>
      </c>
      <c r="I69" s="16">
        <v>6</v>
      </c>
    </row>
    <row r="70" spans="1:9" x14ac:dyDescent="0.35">
      <c r="A70" s="14" t="s">
        <v>101</v>
      </c>
      <c r="B70" s="15" t="s">
        <v>102</v>
      </c>
      <c r="C70" s="15" t="s">
        <v>64</v>
      </c>
      <c r="D70" s="15" t="s">
        <v>100</v>
      </c>
      <c r="E70" s="15" t="s">
        <v>89</v>
      </c>
      <c r="F70" s="16">
        <v>6740</v>
      </c>
      <c r="G70" s="16">
        <v>6372</v>
      </c>
      <c r="H70" s="16">
        <v>61</v>
      </c>
      <c r="I70" s="16">
        <v>55</v>
      </c>
    </row>
    <row r="71" spans="1:9" x14ac:dyDescent="0.35">
      <c r="A71" s="14" t="s">
        <v>101</v>
      </c>
      <c r="B71" s="15" t="s">
        <v>102</v>
      </c>
      <c r="C71" s="15" t="s">
        <v>64</v>
      </c>
      <c r="D71" s="15" t="s">
        <v>100</v>
      </c>
      <c r="E71" s="15" t="s">
        <v>90</v>
      </c>
      <c r="F71" s="16">
        <v>133</v>
      </c>
      <c r="G71" s="16">
        <v>125</v>
      </c>
      <c r="H71" s="16">
        <v>6</v>
      </c>
      <c r="I71" s="16">
        <v>5</v>
      </c>
    </row>
    <row r="72" spans="1:9" x14ac:dyDescent="0.35">
      <c r="A72" s="14" t="s">
        <v>101</v>
      </c>
      <c r="B72" s="15" t="s">
        <v>102</v>
      </c>
      <c r="C72" s="15" t="s">
        <v>64</v>
      </c>
      <c r="D72" s="15" t="s">
        <v>100</v>
      </c>
      <c r="E72" s="15" t="s">
        <v>91</v>
      </c>
      <c r="F72" s="16">
        <v>1937</v>
      </c>
      <c r="G72" s="16">
        <v>1826</v>
      </c>
      <c r="H72" s="16">
        <v>28</v>
      </c>
      <c r="I72" s="16">
        <v>25</v>
      </c>
    </row>
    <row r="73" spans="1:9" x14ac:dyDescent="0.35">
      <c r="A73" s="14" t="s">
        <v>101</v>
      </c>
      <c r="B73" s="15" t="s">
        <v>102</v>
      </c>
      <c r="C73" s="15" t="s">
        <v>64</v>
      </c>
      <c r="D73" s="15" t="s">
        <v>100</v>
      </c>
      <c r="E73" s="15" t="s">
        <v>92</v>
      </c>
      <c r="F73" s="16">
        <v>3019</v>
      </c>
      <c r="G73" s="16">
        <v>2284</v>
      </c>
      <c r="H73" s="16">
        <v>14</v>
      </c>
      <c r="I73" s="16">
        <v>12</v>
      </c>
    </row>
    <row r="74" spans="1:9" x14ac:dyDescent="0.35">
      <c r="A74" s="14" t="s">
        <v>103</v>
      </c>
      <c r="B74" s="15" t="s">
        <v>104</v>
      </c>
      <c r="C74" s="15" t="s">
        <v>64</v>
      </c>
      <c r="D74" s="15" t="s">
        <v>65</v>
      </c>
      <c r="E74" s="15" t="s">
        <v>66</v>
      </c>
      <c r="F74" s="16">
        <v>2397</v>
      </c>
      <c r="G74" s="16">
        <v>2276</v>
      </c>
      <c r="H74" s="16">
        <v>115</v>
      </c>
      <c r="I74" s="16">
        <v>97</v>
      </c>
    </row>
    <row r="75" spans="1:9" x14ac:dyDescent="0.35">
      <c r="A75" s="14" t="s">
        <v>103</v>
      </c>
      <c r="B75" s="15" t="s">
        <v>104</v>
      </c>
      <c r="C75" s="15" t="s">
        <v>64</v>
      </c>
      <c r="D75" s="15" t="s">
        <v>65</v>
      </c>
      <c r="E75" s="15" t="s">
        <v>89</v>
      </c>
      <c r="F75" s="16">
        <v>85221</v>
      </c>
      <c r="G75" s="16">
        <v>79809</v>
      </c>
      <c r="H75" s="16">
        <v>702</v>
      </c>
      <c r="I75" s="16">
        <v>637</v>
      </c>
    </row>
    <row r="76" spans="1:9" x14ac:dyDescent="0.35">
      <c r="A76" s="14" t="s">
        <v>103</v>
      </c>
      <c r="B76" s="15" t="s">
        <v>104</v>
      </c>
      <c r="C76" s="15" t="s">
        <v>64</v>
      </c>
      <c r="D76" s="15" t="s">
        <v>65</v>
      </c>
      <c r="E76" s="15" t="s">
        <v>90</v>
      </c>
      <c r="F76" s="16">
        <v>1646</v>
      </c>
      <c r="G76" s="16">
        <v>1561</v>
      </c>
      <c r="H76" s="16">
        <v>41</v>
      </c>
      <c r="I76" s="16">
        <v>35</v>
      </c>
    </row>
    <row r="77" spans="1:9" x14ac:dyDescent="0.35">
      <c r="A77" s="14" t="s">
        <v>103</v>
      </c>
      <c r="B77" s="15" t="s">
        <v>104</v>
      </c>
      <c r="C77" s="15" t="s">
        <v>64</v>
      </c>
      <c r="D77" s="15" t="s">
        <v>65</v>
      </c>
      <c r="E77" s="15" t="s">
        <v>91</v>
      </c>
      <c r="F77" s="16">
        <v>24722</v>
      </c>
      <c r="G77" s="16">
        <v>23210</v>
      </c>
      <c r="H77" s="16">
        <v>421</v>
      </c>
      <c r="I77" s="16">
        <v>361</v>
      </c>
    </row>
    <row r="78" spans="1:9" x14ac:dyDescent="0.35">
      <c r="A78" s="14" t="s">
        <v>103</v>
      </c>
      <c r="B78" s="15" t="s">
        <v>104</v>
      </c>
      <c r="C78" s="15" t="s">
        <v>64</v>
      </c>
      <c r="D78" s="15" t="s">
        <v>65</v>
      </c>
      <c r="E78" s="15" t="s">
        <v>92</v>
      </c>
      <c r="F78" s="16">
        <v>38638</v>
      </c>
      <c r="G78" s="16">
        <v>28347</v>
      </c>
      <c r="H78" s="16">
        <v>220</v>
      </c>
      <c r="I78" s="16">
        <v>202</v>
      </c>
    </row>
    <row r="79" spans="1:9" x14ac:dyDescent="0.35">
      <c r="A79" s="14" t="s">
        <v>103</v>
      </c>
      <c r="B79" s="15" t="s">
        <v>104</v>
      </c>
      <c r="C79" s="15" t="s">
        <v>93</v>
      </c>
      <c r="D79" s="15" t="s">
        <v>94</v>
      </c>
      <c r="E79" s="15" t="s">
        <v>66</v>
      </c>
      <c r="F79" s="16">
        <v>1315</v>
      </c>
      <c r="G79" s="16">
        <v>1207</v>
      </c>
      <c r="H79" s="16">
        <v>61</v>
      </c>
      <c r="I79" s="16">
        <v>54</v>
      </c>
    </row>
    <row r="80" spans="1:9" x14ac:dyDescent="0.35">
      <c r="A80" s="14" t="s">
        <v>103</v>
      </c>
      <c r="B80" s="15" t="s">
        <v>104</v>
      </c>
      <c r="C80" s="15" t="s">
        <v>93</v>
      </c>
      <c r="D80" s="15" t="s">
        <v>94</v>
      </c>
      <c r="E80" s="15" t="s">
        <v>89</v>
      </c>
      <c r="F80" s="16">
        <v>47122</v>
      </c>
      <c r="G80" s="16">
        <v>43302</v>
      </c>
      <c r="H80" s="16">
        <v>409</v>
      </c>
      <c r="I80" s="16">
        <v>353</v>
      </c>
    </row>
    <row r="81" spans="1:9" x14ac:dyDescent="0.35">
      <c r="A81" s="14" t="s">
        <v>103</v>
      </c>
      <c r="B81" s="15" t="s">
        <v>104</v>
      </c>
      <c r="C81" s="15" t="s">
        <v>93</v>
      </c>
      <c r="D81" s="15" t="s">
        <v>94</v>
      </c>
      <c r="E81" s="15" t="s">
        <v>90</v>
      </c>
      <c r="F81" s="16">
        <v>920</v>
      </c>
      <c r="G81" s="16">
        <v>859</v>
      </c>
      <c r="H81" s="16">
        <v>21</v>
      </c>
      <c r="I81" s="16">
        <v>18</v>
      </c>
    </row>
    <row r="82" spans="1:9" x14ac:dyDescent="0.35">
      <c r="A82" s="14" t="s">
        <v>103</v>
      </c>
      <c r="B82" s="15" t="s">
        <v>104</v>
      </c>
      <c r="C82" s="15" t="s">
        <v>93</v>
      </c>
      <c r="D82" s="15" t="s">
        <v>94</v>
      </c>
      <c r="E82" s="15" t="s">
        <v>91</v>
      </c>
      <c r="F82" s="16">
        <v>13125</v>
      </c>
      <c r="G82" s="16">
        <v>12302</v>
      </c>
      <c r="H82" s="16">
        <v>231</v>
      </c>
      <c r="I82" s="16">
        <v>209</v>
      </c>
    </row>
    <row r="83" spans="1:9" x14ac:dyDescent="0.35">
      <c r="A83" s="14" t="s">
        <v>103</v>
      </c>
      <c r="B83" s="15" t="s">
        <v>104</v>
      </c>
      <c r="C83" s="15" t="s">
        <v>93</v>
      </c>
      <c r="D83" s="15" t="s">
        <v>94</v>
      </c>
      <c r="E83" s="15" t="s">
        <v>92</v>
      </c>
      <c r="F83" s="16">
        <v>22000</v>
      </c>
      <c r="G83" s="16">
        <v>16359</v>
      </c>
      <c r="H83" s="16">
        <v>105</v>
      </c>
      <c r="I83" s="16">
        <v>98</v>
      </c>
    </row>
    <row r="84" spans="1:9" x14ac:dyDescent="0.35">
      <c r="A84" s="14" t="s">
        <v>103</v>
      </c>
      <c r="B84" s="15" t="s">
        <v>104</v>
      </c>
      <c r="C84" s="15" t="s">
        <v>93</v>
      </c>
      <c r="D84" s="15" t="s">
        <v>96</v>
      </c>
      <c r="E84" s="15" t="s">
        <v>66</v>
      </c>
      <c r="F84" s="16">
        <v>1249</v>
      </c>
      <c r="G84" s="16">
        <v>1132</v>
      </c>
      <c r="H84" s="16">
        <v>59</v>
      </c>
      <c r="I84" s="16">
        <v>52</v>
      </c>
    </row>
    <row r="85" spans="1:9" x14ac:dyDescent="0.35">
      <c r="A85" s="14" t="s">
        <v>103</v>
      </c>
      <c r="B85" s="15" t="s">
        <v>104</v>
      </c>
      <c r="C85" s="15" t="s">
        <v>93</v>
      </c>
      <c r="D85" s="15" t="s">
        <v>96</v>
      </c>
      <c r="E85" s="15" t="s">
        <v>89</v>
      </c>
      <c r="F85" s="16">
        <v>42785</v>
      </c>
      <c r="G85" s="16">
        <v>39457</v>
      </c>
      <c r="H85" s="16">
        <v>334</v>
      </c>
      <c r="I85" s="16">
        <v>297</v>
      </c>
    </row>
    <row r="86" spans="1:9" x14ac:dyDescent="0.35">
      <c r="A86" s="14" t="s">
        <v>103</v>
      </c>
      <c r="B86" s="15" t="s">
        <v>104</v>
      </c>
      <c r="C86" s="15" t="s">
        <v>93</v>
      </c>
      <c r="D86" s="15" t="s">
        <v>96</v>
      </c>
      <c r="E86" s="15" t="s">
        <v>90</v>
      </c>
      <c r="F86" s="16">
        <v>799</v>
      </c>
      <c r="G86" s="16">
        <v>736</v>
      </c>
      <c r="H86" s="16">
        <v>20</v>
      </c>
      <c r="I86" s="16">
        <v>19</v>
      </c>
    </row>
    <row r="87" spans="1:9" x14ac:dyDescent="0.35">
      <c r="A87" s="14" t="s">
        <v>103</v>
      </c>
      <c r="B87" s="15" t="s">
        <v>104</v>
      </c>
      <c r="C87" s="15" t="s">
        <v>93</v>
      </c>
      <c r="D87" s="15" t="s">
        <v>96</v>
      </c>
      <c r="E87" s="15" t="s">
        <v>91</v>
      </c>
      <c r="F87" s="16">
        <v>12060</v>
      </c>
      <c r="G87" s="16">
        <v>11060</v>
      </c>
      <c r="H87" s="16">
        <v>187</v>
      </c>
      <c r="I87" s="16">
        <v>161</v>
      </c>
    </row>
    <row r="88" spans="1:9" x14ac:dyDescent="0.35">
      <c r="A88" s="14" t="s">
        <v>103</v>
      </c>
      <c r="B88" s="15" t="s">
        <v>104</v>
      </c>
      <c r="C88" s="15" t="s">
        <v>93</v>
      </c>
      <c r="D88" s="15" t="s">
        <v>96</v>
      </c>
      <c r="E88" s="15" t="s">
        <v>92</v>
      </c>
      <c r="F88" s="16">
        <v>19886</v>
      </c>
      <c r="G88" s="16">
        <v>14592</v>
      </c>
      <c r="H88" s="16">
        <v>114</v>
      </c>
      <c r="I88" s="16">
        <v>97</v>
      </c>
    </row>
    <row r="89" spans="1:9" x14ac:dyDescent="0.35">
      <c r="A89" s="14" t="s">
        <v>103</v>
      </c>
      <c r="B89" s="15" t="s">
        <v>104</v>
      </c>
      <c r="C89" s="15" t="s">
        <v>93</v>
      </c>
      <c r="D89" s="15" t="s">
        <v>97</v>
      </c>
      <c r="E89" s="15" t="s">
        <v>66</v>
      </c>
      <c r="F89" s="16">
        <v>1024</v>
      </c>
      <c r="G89" s="16">
        <v>934</v>
      </c>
      <c r="H89" s="16">
        <v>47</v>
      </c>
      <c r="I89" s="16">
        <v>39</v>
      </c>
    </row>
    <row r="90" spans="1:9" x14ac:dyDescent="0.35">
      <c r="A90" s="14" t="s">
        <v>103</v>
      </c>
      <c r="B90" s="15" t="s">
        <v>104</v>
      </c>
      <c r="C90" s="15" t="s">
        <v>93</v>
      </c>
      <c r="D90" s="15" t="s">
        <v>97</v>
      </c>
      <c r="E90" s="15" t="s">
        <v>89</v>
      </c>
      <c r="F90" s="16">
        <v>35378</v>
      </c>
      <c r="G90" s="16">
        <v>32336</v>
      </c>
      <c r="H90" s="16">
        <v>309</v>
      </c>
      <c r="I90" s="16">
        <v>282</v>
      </c>
    </row>
    <row r="91" spans="1:9" x14ac:dyDescent="0.35">
      <c r="A91" s="14" t="s">
        <v>103</v>
      </c>
      <c r="B91" s="15" t="s">
        <v>104</v>
      </c>
      <c r="C91" s="15" t="s">
        <v>93</v>
      </c>
      <c r="D91" s="15" t="s">
        <v>97</v>
      </c>
      <c r="E91" s="15" t="s">
        <v>90</v>
      </c>
      <c r="F91" s="16">
        <v>669</v>
      </c>
      <c r="G91" s="16">
        <v>619</v>
      </c>
      <c r="H91" s="16">
        <v>18</v>
      </c>
      <c r="I91" s="16">
        <v>16</v>
      </c>
    </row>
    <row r="92" spans="1:9" x14ac:dyDescent="0.35">
      <c r="A92" s="14" t="s">
        <v>103</v>
      </c>
      <c r="B92" s="15" t="s">
        <v>104</v>
      </c>
      <c r="C92" s="15" t="s">
        <v>93</v>
      </c>
      <c r="D92" s="15" t="s">
        <v>97</v>
      </c>
      <c r="E92" s="15" t="s">
        <v>91</v>
      </c>
      <c r="F92" s="16">
        <v>10554</v>
      </c>
      <c r="G92" s="16">
        <v>9696</v>
      </c>
      <c r="H92" s="16">
        <v>176</v>
      </c>
      <c r="I92" s="16">
        <v>160</v>
      </c>
    </row>
    <row r="93" spans="1:9" x14ac:dyDescent="0.35">
      <c r="A93" s="14" t="s">
        <v>103</v>
      </c>
      <c r="B93" s="15" t="s">
        <v>104</v>
      </c>
      <c r="C93" s="15" t="s">
        <v>93</v>
      </c>
      <c r="D93" s="15" t="s">
        <v>97</v>
      </c>
      <c r="E93" s="15" t="s">
        <v>92</v>
      </c>
      <c r="F93" s="16">
        <v>16211</v>
      </c>
      <c r="G93" s="16">
        <v>12651</v>
      </c>
      <c r="H93" s="16">
        <v>108</v>
      </c>
      <c r="I93" s="16">
        <v>100</v>
      </c>
    </row>
    <row r="94" spans="1:9" x14ac:dyDescent="0.35">
      <c r="A94" s="14" t="s">
        <v>103</v>
      </c>
      <c r="B94" s="15" t="s">
        <v>104</v>
      </c>
      <c r="C94" s="15" t="s">
        <v>93</v>
      </c>
      <c r="D94" s="15" t="s">
        <v>98</v>
      </c>
      <c r="E94" s="15" t="s">
        <v>66</v>
      </c>
      <c r="F94" s="16">
        <v>797</v>
      </c>
      <c r="G94" s="16">
        <v>736</v>
      </c>
      <c r="H94" s="16">
        <v>37</v>
      </c>
      <c r="I94" s="16">
        <v>33</v>
      </c>
    </row>
    <row r="95" spans="1:9" x14ac:dyDescent="0.35">
      <c r="A95" s="14" t="s">
        <v>103</v>
      </c>
      <c r="B95" s="15" t="s">
        <v>104</v>
      </c>
      <c r="C95" s="15" t="s">
        <v>93</v>
      </c>
      <c r="D95" s="15" t="s">
        <v>98</v>
      </c>
      <c r="E95" s="15" t="s">
        <v>89</v>
      </c>
      <c r="F95" s="16">
        <v>28524</v>
      </c>
      <c r="G95" s="16">
        <v>25938</v>
      </c>
      <c r="H95" s="16">
        <v>283</v>
      </c>
      <c r="I95" s="16">
        <v>240</v>
      </c>
    </row>
    <row r="96" spans="1:9" x14ac:dyDescent="0.35">
      <c r="A96" s="14" t="s">
        <v>103</v>
      </c>
      <c r="B96" s="15" t="s">
        <v>104</v>
      </c>
      <c r="C96" s="15" t="s">
        <v>93</v>
      </c>
      <c r="D96" s="15" t="s">
        <v>98</v>
      </c>
      <c r="E96" s="15" t="s">
        <v>90</v>
      </c>
      <c r="F96" s="16">
        <v>530</v>
      </c>
      <c r="G96" s="16">
        <v>493</v>
      </c>
      <c r="H96" s="16">
        <v>14</v>
      </c>
      <c r="I96" s="16">
        <v>13</v>
      </c>
    </row>
    <row r="97" spans="1:9" x14ac:dyDescent="0.35">
      <c r="A97" s="14" t="s">
        <v>103</v>
      </c>
      <c r="B97" s="15" t="s">
        <v>104</v>
      </c>
      <c r="C97" s="15" t="s">
        <v>93</v>
      </c>
      <c r="D97" s="15" t="s">
        <v>98</v>
      </c>
      <c r="E97" s="15" t="s">
        <v>91</v>
      </c>
      <c r="F97" s="16">
        <v>7917</v>
      </c>
      <c r="G97" s="16">
        <v>7247</v>
      </c>
      <c r="H97" s="16">
        <v>111</v>
      </c>
      <c r="I97" s="16">
        <v>95</v>
      </c>
    </row>
    <row r="98" spans="1:9" x14ac:dyDescent="0.35">
      <c r="A98" s="14" t="s">
        <v>103</v>
      </c>
      <c r="B98" s="15" t="s">
        <v>104</v>
      </c>
      <c r="C98" s="15" t="s">
        <v>93</v>
      </c>
      <c r="D98" s="15" t="s">
        <v>98</v>
      </c>
      <c r="E98" s="15" t="s">
        <v>92</v>
      </c>
      <c r="F98" s="16">
        <v>12658</v>
      </c>
      <c r="G98" s="16">
        <v>10029</v>
      </c>
      <c r="H98" s="16">
        <v>83</v>
      </c>
      <c r="I98" s="16">
        <v>74</v>
      </c>
    </row>
    <row r="99" spans="1:9" x14ac:dyDescent="0.35">
      <c r="A99" s="14" t="s">
        <v>103</v>
      </c>
      <c r="B99" s="15" t="s">
        <v>104</v>
      </c>
      <c r="C99" s="15" t="s">
        <v>64</v>
      </c>
      <c r="D99" s="15" t="s">
        <v>99</v>
      </c>
      <c r="E99" s="15" t="s">
        <v>66</v>
      </c>
      <c r="F99" s="16">
        <v>598</v>
      </c>
      <c r="G99" s="16">
        <v>560</v>
      </c>
      <c r="H99" s="16">
        <v>29</v>
      </c>
      <c r="I99" s="16">
        <v>25</v>
      </c>
    </row>
    <row r="100" spans="1:9" x14ac:dyDescent="0.35">
      <c r="A100" s="14" t="s">
        <v>103</v>
      </c>
      <c r="B100" s="15" t="s">
        <v>104</v>
      </c>
      <c r="C100" s="15" t="s">
        <v>64</v>
      </c>
      <c r="D100" s="15" t="s">
        <v>99</v>
      </c>
      <c r="E100" s="15" t="s">
        <v>89</v>
      </c>
      <c r="F100" s="16">
        <v>21145</v>
      </c>
      <c r="G100" s="16">
        <v>19669</v>
      </c>
      <c r="H100" s="16">
        <v>196</v>
      </c>
      <c r="I100" s="16">
        <v>173</v>
      </c>
    </row>
    <row r="101" spans="1:9" x14ac:dyDescent="0.35">
      <c r="A101" s="14" t="s">
        <v>103</v>
      </c>
      <c r="B101" s="15" t="s">
        <v>104</v>
      </c>
      <c r="C101" s="15" t="s">
        <v>64</v>
      </c>
      <c r="D101" s="15" t="s">
        <v>99</v>
      </c>
      <c r="E101" s="15" t="s">
        <v>90</v>
      </c>
      <c r="F101" s="16">
        <v>422</v>
      </c>
      <c r="G101" s="16">
        <v>396</v>
      </c>
      <c r="H101" s="16">
        <v>11</v>
      </c>
      <c r="I101" s="16">
        <v>10</v>
      </c>
    </row>
    <row r="102" spans="1:9" x14ac:dyDescent="0.35">
      <c r="A102" s="14" t="s">
        <v>103</v>
      </c>
      <c r="B102" s="15" t="s">
        <v>104</v>
      </c>
      <c r="C102" s="15" t="s">
        <v>64</v>
      </c>
      <c r="D102" s="15" t="s">
        <v>99</v>
      </c>
      <c r="E102" s="15" t="s">
        <v>91</v>
      </c>
      <c r="F102" s="16">
        <v>6238</v>
      </c>
      <c r="G102" s="16">
        <v>5766</v>
      </c>
      <c r="H102" s="16">
        <v>101</v>
      </c>
      <c r="I102" s="16">
        <v>90</v>
      </c>
    </row>
    <row r="103" spans="1:9" x14ac:dyDescent="0.35">
      <c r="A103" s="14" t="s">
        <v>103</v>
      </c>
      <c r="B103" s="15" t="s">
        <v>104</v>
      </c>
      <c r="C103" s="15" t="s">
        <v>64</v>
      </c>
      <c r="D103" s="15" t="s">
        <v>99</v>
      </c>
      <c r="E103" s="15" t="s">
        <v>92</v>
      </c>
      <c r="F103" s="16">
        <v>9745</v>
      </c>
      <c r="G103" s="16">
        <v>7423</v>
      </c>
      <c r="H103" s="16">
        <v>50</v>
      </c>
      <c r="I103" s="16">
        <v>45</v>
      </c>
    </row>
    <row r="104" spans="1:9" x14ac:dyDescent="0.35">
      <c r="A104" s="14" t="s">
        <v>103</v>
      </c>
      <c r="B104" s="15" t="s">
        <v>104</v>
      </c>
      <c r="C104" s="15" t="s">
        <v>64</v>
      </c>
      <c r="D104" s="15" t="s">
        <v>100</v>
      </c>
      <c r="E104" s="15" t="s">
        <v>66</v>
      </c>
      <c r="F104" s="16">
        <v>200</v>
      </c>
      <c r="G104" s="16">
        <v>187</v>
      </c>
      <c r="H104" s="16">
        <v>8</v>
      </c>
      <c r="I104" s="16">
        <v>7</v>
      </c>
    </row>
    <row r="105" spans="1:9" x14ac:dyDescent="0.35">
      <c r="A105" s="14" t="s">
        <v>103</v>
      </c>
      <c r="B105" s="15" t="s">
        <v>104</v>
      </c>
      <c r="C105" s="15" t="s">
        <v>64</v>
      </c>
      <c r="D105" s="15" t="s">
        <v>100</v>
      </c>
      <c r="E105" s="15" t="s">
        <v>89</v>
      </c>
      <c r="F105" s="16">
        <v>6594</v>
      </c>
      <c r="G105" s="16">
        <v>6268</v>
      </c>
      <c r="H105" s="16">
        <v>60</v>
      </c>
      <c r="I105" s="16">
        <v>55</v>
      </c>
    </row>
    <row r="106" spans="1:9" x14ac:dyDescent="0.35">
      <c r="A106" s="14" t="s">
        <v>103</v>
      </c>
      <c r="B106" s="15" t="s">
        <v>104</v>
      </c>
      <c r="C106" s="15" t="s">
        <v>64</v>
      </c>
      <c r="D106" s="15" t="s">
        <v>100</v>
      </c>
      <c r="E106" s="15" t="s">
        <v>90</v>
      </c>
      <c r="F106" s="16">
        <v>133</v>
      </c>
      <c r="G106" s="16">
        <v>127</v>
      </c>
      <c r="H106" s="16">
        <v>6</v>
      </c>
      <c r="I106" s="16">
        <v>5</v>
      </c>
    </row>
    <row r="107" spans="1:9" x14ac:dyDescent="0.35">
      <c r="A107" s="14" t="s">
        <v>103</v>
      </c>
      <c r="B107" s="15" t="s">
        <v>104</v>
      </c>
      <c r="C107" s="15" t="s">
        <v>64</v>
      </c>
      <c r="D107" s="15" t="s">
        <v>100</v>
      </c>
      <c r="E107" s="15" t="s">
        <v>91</v>
      </c>
      <c r="F107" s="16">
        <v>1962</v>
      </c>
      <c r="G107" s="16">
        <v>1863</v>
      </c>
      <c r="H107" s="16">
        <v>26</v>
      </c>
      <c r="I107" s="16">
        <v>24</v>
      </c>
    </row>
    <row r="108" spans="1:9" x14ac:dyDescent="0.35">
      <c r="A108" s="14" t="s">
        <v>103</v>
      </c>
      <c r="B108" s="15" t="s">
        <v>104</v>
      </c>
      <c r="C108" s="15" t="s">
        <v>64</v>
      </c>
      <c r="D108" s="15" t="s">
        <v>100</v>
      </c>
      <c r="E108" s="15" t="s">
        <v>92</v>
      </c>
      <c r="F108" s="16">
        <v>3071</v>
      </c>
      <c r="G108" s="16">
        <v>2369</v>
      </c>
      <c r="H108" s="16">
        <v>20</v>
      </c>
      <c r="I108" s="16">
        <v>18</v>
      </c>
    </row>
  </sheetData>
  <mergeCells count="2">
    <mergeCell ref="A1:I1"/>
    <mergeCell ref="A2:I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55560"/>
  </sheetPr>
  <dimension ref="A1:F32"/>
  <sheetViews>
    <sheetView workbookViewId="0">
      <pane ySplit="3" topLeftCell="A4" activePane="bottomLeft" state="frozen"/>
      <selection pane="bottomLeft" sqref="A1:F1"/>
    </sheetView>
  </sheetViews>
  <sheetFormatPr defaultRowHeight="14.5" x14ac:dyDescent="0.35"/>
  <cols>
    <col min="1" max="1" width="24.7265625" customWidth="1"/>
    <col min="2" max="2" width="21.7265625" customWidth="1"/>
    <col min="3" max="3" width="11.7265625" customWidth="1"/>
    <col min="4" max="4" width="12.7265625" customWidth="1"/>
    <col min="5" max="5" width="62.7265625" customWidth="1"/>
    <col min="6" max="6" width="50.7265625" customWidth="1"/>
  </cols>
  <sheetData>
    <row r="1" spans="1:6" ht="27.75" customHeight="1" x14ac:dyDescent="0.35">
      <c r="A1" s="38" t="s">
        <v>111</v>
      </c>
      <c r="B1" s="39"/>
      <c r="C1" s="39"/>
      <c r="D1" s="39"/>
      <c r="E1" s="39"/>
      <c r="F1" s="39"/>
    </row>
    <row r="2" spans="1:6" x14ac:dyDescent="0.35">
      <c r="A2" s="40" t="s">
        <v>112</v>
      </c>
      <c r="B2" s="39"/>
      <c r="C2" s="39"/>
      <c r="D2" s="39"/>
      <c r="E2" s="39"/>
      <c r="F2" s="39"/>
    </row>
    <row r="3" spans="1:6" x14ac:dyDescent="0.35">
      <c r="A3" s="18" t="s">
        <v>113</v>
      </c>
      <c r="B3" s="6" t="s">
        <v>114</v>
      </c>
      <c r="C3" s="6" t="s">
        <v>115</v>
      </c>
      <c r="D3" s="6" t="s">
        <v>116</v>
      </c>
      <c r="E3" s="6" t="s">
        <v>117</v>
      </c>
      <c r="F3" s="19" t="s">
        <v>118</v>
      </c>
    </row>
    <row r="4" spans="1:6" x14ac:dyDescent="0.35">
      <c r="A4" s="22" t="s">
        <v>42</v>
      </c>
      <c r="B4" s="23" t="s">
        <v>119</v>
      </c>
      <c r="C4" s="23" t="s">
        <v>120</v>
      </c>
      <c r="D4" s="23" t="s">
        <v>121</v>
      </c>
      <c r="E4" s="24" t="s">
        <v>122</v>
      </c>
      <c r="F4" s="24" t="s">
        <v>123</v>
      </c>
    </row>
    <row r="5" spans="1:6" x14ac:dyDescent="0.35">
      <c r="A5" s="25" t="s">
        <v>43</v>
      </c>
      <c r="B5" s="26" t="s">
        <v>119</v>
      </c>
      <c r="C5" s="26" t="s">
        <v>120</v>
      </c>
      <c r="D5" s="26" t="s">
        <v>124</v>
      </c>
      <c r="E5" s="27" t="s">
        <v>125</v>
      </c>
      <c r="F5" s="27" t="s">
        <v>126</v>
      </c>
    </row>
    <row r="6" spans="1:6" ht="29.25" customHeight="1" x14ac:dyDescent="0.35">
      <c r="A6" s="25" t="s">
        <v>44</v>
      </c>
      <c r="B6" s="26" t="s">
        <v>119</v>
      </c>
      <c r="C6" s="26" t="s">
        <v>120</v>
      </c>
      <c r="D6" s="26" t="s">
        <v>127</v>
      </c>
      <c r="E6" s="27" t="s">
        <v>128</v>
      </c>
      <c r="F6" s="27" t="s">
        <v>129</v>
      </c>
    </row>
    <row r="7" spans="1:6" x14ac:dyDescent="0.35">
      <c r="A7" s="25" t="s">
        <v>45</v>
      </c>
      <c r="B7" s="26" t="s">
        <v>119</v>
      </c>
      <c r="C7" s="26" t="s">
        <v>120</v>
      </c>
      <c r="D7" s="26" t="s">
        <v>127</v>
      </c>
      <c r="E7" s="27" t="s">
        <v>130</v>
      </c>
      <c r="F7" s="27" t="s">
        <v>129</v>
      </c>
    </row>
    <row r="8" spans="1:6" ht="43.5" customHeight="1" x14ac:dyDescent="0.35">
      <c r="A8" s="25" t="s">
        <v>46</v>
      </c>
      <c r="B8" s="26" t="s">
        <v>119</v>
      </c>
      <c r="C8" s="26" t="s">
        <v>120</v>
      </c>
      <c r="D8" s="26" t="s">
        <v>127</v>
      </c>
      <c r="E8" s="27" t="s">
        <v>131</v>
      </c>
      <c r="F8" s="27" t="s">
        <v>129</v>
      </c>
    </row>
    <row r="9" spans="1:6" x14ac:dyDescent="0.35">
      <c r="A9" s="25" t="s">
        <v>47</v>
      </c>
      <c r="B9" s="26" t="s">
        <v>132</v>
      </c>
      <c r="C9" s="26" t="s">
        <v>120</v>
      </c>
      <c r="D9" s="26" t="s">
        <v>127</v>
      </c>
      <c r="E9" s="27" t="s">
        <v>133</v>
      </c>
      <c r="F9" s="27" t="s">
        <v>129</v>
      </c>
    </row>
    <row r="10" spans="1:6" x14ac:dyDescent="0.35">
      <c r="A10" s="25" t="s">
        <v>48</v>
      </c>
      <c r="B10" s="26" t="s">
        <v>132</v>
      </c>
      <c r="C10" s="26" t="s">
        <v>120</v>
      </c>
      <c r="D10" s="26" t="s">
        <v>127</v>
      </c>
      <c r="E10" s="27" t="s">
        <v>134</v>
      </c>
      <c r="F10" s="27" t="s">
        <v>129</v>
      </c>
    </row>
    <row r="11" spans="1:6" x14ac:dyDescent="0.35">
      <c r="A11" s="25" t="s">
        <v>49</v>
      </c>
      <c r="B11" s="26" t="s">
        <v>132</v>
      </c>
      <c r="C11" s="26" t="s">
        <v>120</v>
      </c>
      <c r="D11" s="26" t="s">
        <v>127</v>
      </c>
      <c r="E11" s="27" t="s">
        <v>135</v>
      </c>
      <c r="F11" s="27" t="s">
        <v>129</v>
      </c>
    </row>
    <row r="12" spans="1:6" x14ac:dyDescent="0.35">
      <c r="A12" s="25" t="s">
        <v>50</v>
      </c>
      <c r="B12" s="26" t="s">
        <v>132</v>
      </c>
      <c r="C12" s="26" t="s">
        <v>136</v>
      </c>
      <c r="D12" s="26" t="s">
        <v>137</v>
      </c>
      <c r="E12" s="27" t="s">
        <v>138</v>
      </c>
      <c r="F12" s="27" t="s">
        <v>139</v>
      </c>
    </row>
    <row r="13" spans="1:6" x14ac:dyDescent="0.35">
      <c r="A13" s="25" t="s">
        <v>51</v>
      </c>
      <c r="B13" s="26" t="s">
        <v>132</v>
      </c>
      <c r="C13" s="26" t="s">
        <v>136</v>
      </c>
      <c r="D13" s="26" t="s">
        <v>137</v>
      </c>
      <c r="E13" s="27" t="s">
        <v>140</v>
      </c>
      <c r="F13" s="27" t="s">
        <v>139</v>
      </c>
    </row>
    <row r="14" spans="1:6" x14ac:dyDescent="0.35">
      <c r="A14" s="25" t="s">
        <v>52</v>
      </c>
      <c r="B14" s="26" t="s">
        <v>132</v>
      </c>
      <c r="C14" s="26" t="s">
        <v>136</v>
      </c>
      <c r="D14" s="26" t="s">
        <v>137</v>
      </c>
      <c r="E14" s="27" t="s">
        <v>141</v>
      </c>
      <c r="F14" s="27" t="s">
        <v>139</v>
      </c>
    </row>
    <row r="15" spans="1:6" x14ac:dyDescent="0.35">
      <c r="A15" s="25" t="s">
        <v>53</v>
      </c>
      <c r="B15" s="26" t="s">
        <v>132</v>
      </c>
      <c r="C15" s="26" t="s">
        <v>136</v>
      </c>
      <c r="D15" s="26" t="s">
        <v>142</v>
      </c>
      <c r="E15" s="27" t="s">
        <v>143</v>
      </c>
      <c r="F15" s="27" t="s">
        <v>139</v>
      </c>
    </row>
    <row r="16" spans="1:6" ht="29.25" customHeight="1" x14ac:dyDescent="0.35">
      <c r="A16" s="25" t="s">
        <v>54</v>
      </c>
      <c r="B16" s="26" t="s">
        <v>132</v>
      </c>
      <c r="C16" s="26" t="s">
        <v>136</v>
      </c>
      <c r="D16" s="26" t="s">
        <v>142</v>
      </c>
      <c r="E16" s="27" t="s">
        <v>144</v>
      </c>
      <c r="F16" s="27" t="s">
        <v>139</v>
      </c>
    </row>
    <row r="17" spans="1:6" x14ac:dyDescent="0.35">
      <c r="A17" s="25" t="s">
        <v>55</v>
      </c>
      <c r="B17" s="26" t="s">
        <v>132</v>
      </c>
      <c r="C17" s="26" t="s">
        <v>145</v>
      </c>
      <c r="D17" s="26" t="s">
        <v>142</v>
      </c>
      <c r="E17" s="27" t="s">
        <v>146</v>
      </c>
      <c r="F17" s="27" t="s">
        <v>139</v>
      </c>
    </row>
    <row r="18" spans="1:6" x14ac:dyDescent="0.35">
      <c r="A18" s="25" t="s">
        <v>56</v>
      </c>
      <c r="B18" s="26" t="s">
        <v>132</v>
      </c>
      <c r="C18" s="26" t="s">
        <v>136</v>
      </c>
      <c r="D18" s="26" t="s">
        <v>142</v>
      </c>
      <c r="E18" s="27" t="s">
        <v>147</v>
      </c>
      <c r="F18" s="27" t="s">
        <v>139</v>
      </c>
    </row>
    <row r="19" spans="1:6" x14ac:dyDescent="0.35">
      <c r="A19" s="25" t="s">
        <v>57</v>
      </c>
      <c r="B19" s="26" t="s">
        <v>132</v>
      </c>
      <c r="C19" s="26" t="s">
        <v>136</v>
      </c>
      <c r="D19" s="26" t="s">
        <v>142</v>
      </c>
      <c r="E19" s="27" t="s">
        <v>148</v>
      </c>
      <c r="F19" s="27" t="s">
        <v>139</v>
      </c>
    </row>
    <row r="20" spans="1:6" ht="29.25" customHeight="1" x14ac:dyDescent="0.35">
      <c r="A20" s="25" t="s">
        <v>58</v>
      </c>
      <c r="B20" s="26" t="s">
        <v>132</v>
      </c>
      <c r="C20" s="26" t="s">
        <v>136</v>
      </c>
      <c r="D20" s="26" t="s">
        <v>142</v>
      </c>
      <c r="E20" s="27" t="s">
        <v>149</v>
      </c>
      <c r="F20" s="27" t="s">
        <v>139</v>
      </c>
    </row>
    <row r="21" spans="1:6" x14ac:dyDescent="0.35">
      <c r="A21" s="25" t="s">
        <v>59</v>
      </c>
      <c r="B21" s="26" t="s">
        <v>132</v>
      </c>
      <c r="C21" s="26" t="s">
        <v>145</v>
      </c>
      <c r="D21" s="26" t="s">
        <v>142</v>
      </c>
      <c r="E21" s="27" t="s">
        <v>150</v>
      </c>
      <c r="F21" s="27" t="s">
        <v>139</v>
      </c>
    </row>
    <row r="22" spans="1:6" x14ac:dyDescent="0.35">
      <c r="A22" s="25" t="s">
        <v>60</v>
      </c>
      <c r="B22" s="26" t="s">
        <v>132</v>
      </c>
      <c r="C22" s="26" t="s">
        <v>136</v>
      </c>
      <c r="D22" s="26" t="s">
        <v>142</v>
      </c>
      <c r="E22" s="27" t="s">
        <v>151</v>
      </c>
      <c r="F22" s="27" t="s">
        <v>139</v>
      </c>
    </row>
    <row r="23" spans="1:6" x14ac:dyDescent="0.35">
      <c r="A23" s="25" t="s">
        <v>61</v>
      </c>
      <c r="B23" s="26" t="s">
        <v>132</v>
      </c>
      <c r="C23" s="26" t="s">
        <v>145</v>
      </c>
      <c r="D23" s="26" t="s">
        <v>142</v>
      </c>
      <c r="E23" s="27" t="s">
        <v>152</v>
      </c>
      <c r="F23" s="27" t="s">
        <v>139</v>
      </c>
    </row>
    <row r="24" spans="1:6" ht="43.5" customHeight="1" x14ac:dyDescent="0.35">
      <c r="A24" s="25" t="s">
        <v>107</v>
      </c>
      <c r="B24" s="26" t="s">
        <v>153</v>
      </c>
      <c r="C24" s="26" t="s">
        <v>136</v>
      </c>
      <c r="D24" s="26" t="s">
        <v>154</v>
      </c>
      <c r="E24" s="27" t="s">
        <v>155</v>
      </c>
      <c r="F24" s="27" t="s">
        <v>156</v>
      </c>
    </row>
    <row r="25" spans="1:6" x14ac:dyDescent="0.35">
      <c r="A25" s="25" t="s">
        <v>108</v>
      </c>
      <c r="B25" s="26" t="s">
        <v>153</v>
      </c>
      <c r="C25" s="26" t="s">
        <v>136</v>
      </c>
      <c r="D25" s="26" t="s">
        <v>154</v>
      </c>
      <c r="E25" s="27" t="s">
        <v>157</v>
      </c>
      <c r="F25" s="27" t="s">
        <v>158</v>
      </c>
    </row>
    <row r="26" spans="1:6" x14ac:dyDescent="0.35">
      <c r="A26" s="25" t="s">
        <v>109</v>
      </c>
      <c r="B26" s="26" t="s">
        <v>153</v>
      </c>
      <c r="C26" s="26" t="s">
        <v>136</v>
      </c>
      <c r="D26" s="26" t="s">
        <v>159</v>
      </c>
      <c r="E26" s="27" t="s">
        <v>160</v>
      </c>
      <c r="F26" s="27" t="s">
        <v>139</v>
      </c>
    </row>
    <row r="27" spans="1:6" x14ac:dyDescent="0.35">
      <c r="A27" s="25" t="s">
        <v>110</v>
      </c>
      <c r="B27" s="26" t="s">
        <v>153</v>
      </c>
      <c r="C27" s="26" t="s">
        <v>136</v>
      </c>
      <c r="D27" s="26" t="s">
        <v>159</v>
      </c>
      <c r="E27" s="27" t="s">
        <v>161</v>
      </c>
      <c r="F27" s="27" t="s">
        <v>139</v>
      </c>
    </row>
    <row r="28" spans="1:6" x14ac:dyDescent="0.35">
      <c r="A28" s="25" t="s">
        <v>162</v>
      </c>
      <c r="B28" s="26" t="s">
        <v>163</v>
      </c>
      <c r="C28" s="26" t="s">
        <v>164</v>
      </c>
      <c r="D28" s="26" t="s">
        <v>165</v>
      </c>
      <c r="E28" s="27" t="s">
        <v>166</v>
      </c>
      <c r="F28" s="27" t="s">
        <v>167</v>
      </c>
    </row>
    <row r="29" spans="1:6" x14ac:dyDescent="0.35">
      <c r="A29" s="25" t="s">
        <v>168</v>
      </c>
      <c r="B29" s="26" t="s">
        <v>163</v>
      </c>
      <c r="C29" s="26" t="s">
        <v>164</v>
      </c>
      <c r="D29" s="26" t="s">
        <v>169</v>
      </c>
      <c r="E29" s="27" t="s">
        <v>170</v>
      </c>
      <c r="F29" s="27" t="s">
        <v>171</v>
      </c>
    </row>
    <row r="30" spans="1:6" ht="29.25" customHeight="1" x14ac:dyDescent="0.35">
      <c r="A30" s="25" t="s">
        <v>172</v>
      </c>
      <c r="B30" s="26" t="s">
        <v>163</v>
      </c>
      <c r="C30" s="26" t="s">
        <v>164</v>
      </c>
      <c r="D30" s="26" t="s">
        <v>169</v>
      </c>
      <c r="E30" s="27" t="s">
        <v>173</v>
      </c>
      <c r="F30" s="27" t="s">
        <v>174</v>
      </c>
    </row>
    <row r="31" spans="1:6" x14ac:dyDescent="0.35">
      <c r="A31" s="25" t="s">
        <v>175</v>
      </c>
      <c r="B31" s="26" t="s">
        <v>163</v>
      </c>
      <c r="C31" s="26" t="s">
        <v>164</v>
      </c>
      <c r="D31" s="26" t="s">
        <v>169</v>
      </c>
      <c r="E31" s="27" t="s">
        <v>176</v>
      </c>
      <c r="F31" s="27" t="s">
        <v>177</v>
      </c>
    </row>
    <row r="32" spans="1:6" x14ac:dyDescent="0.35">
      <c r="A32" s="25" t="s">
        <v>178</v>
      </c>
      <c r="B32" s="26" t="s">
        <v>163</v>
      </c>
      <c r="C32" s="26" t="s">
        <v>164</v>
      </c>
      <c r="D32" s="26" t="s">
        <v>169</v>
      </c>
      <c r="E32" s="27" t="s">
        <v>179</v>
      </c>
      <c r="F32" s="27" t="s">
        <v>180</v>
      </c>
    </row>
  </sheetData>
  <mergeCells count="2">
    <mergeCell ref="A2:F2"/>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55560"/>
  </sheetPr>
  <dimension ref="A1:M26"/>
  <sheetViews>
    <sheetView tabSelected="1" workbookViewId="0">
      <pane ySplit="2" topLeftCell="A3" activePane="bottomLeft" state="frozen"/>
      <selection pane="bottomLeft" sqref="A1:M1"/>
    </sheetView>
  </sheetViews>
  <sheetFormatPr defaultRowHeight="14.5" x14ac:dyDescent="0.35"/>
  <cols>
    <col min="1" max="1" width="16.7265625" customWidth="1"/>
    <col min="2" max="2" width="42.7265625" customWidth="1"/>
    <col min="3" max="3" width="11.7265625" customWidth="1"/>
    <col min="4" max="4" width="15.7265625" customWidth="1"/>
    <col min="5" max="5" width="3.7265625" customWidth="1"/>
    <col min="6" max="6" width="21.7265625" customWidth="1"/>
    <col min="7" max="7" width="56.7265625" customWidth="1"/>
    <col min="8" max="8" width="11.7265625" customWidth="1"/>
    <col min="9" max="9" width="3.7265625" customWidth="1"/>
    <col min="10" max="10" width="12.7265625" customWidth="1"/>
    <col min="11" max="11" width="44.7265625" customWidth="1"/>
  </cols>
  <sheetData>
    <row r="1" spans="1:13" ht="27.75" customHeight="1" x14ac:dyDescent="0.35">
      <c r="A1" s="38" t="s">
        <v>181</v>
      </c>
      <c r="B1" s="39"/>
      <c r="C1" s="39"/>
      <c r="D1" s="39"/>
      <c r="E1" s="39"/>
      <c r="F1" s="39"/>
      <c r="G1" s="39"/>
      <c r="H1" s="39"/>
      <c r="I1" s="39"/>
      <c r="J1" s="39"/>
      <c r="K1" s="39"/>
      <c r="L1" s="39"/>
      <c r="M1" s="39"/>
    </row>
    <row r="2" spans="1:13" x14ac:dyDescent="0.35">
      <c r="A2" s="36" t="s">
        <v>182</v>
      </c>
      <c r="B2" s="37"/>
      <c r="C2" s="37"/>
      <c r="D2" s="37"/>
      <c r="E2" s="37"/>
      <c r="F2" s="37"/>
      <c r="G2" s="37"/>
      <c r="H2" s="37"/>
      <c r="I2" s="37"/>
      <c r="J2" s="37"/>
      <c r="K2" s="37"/>
      <c r="L2" s="37"/>
      <c r="M2" s="37"/>
    </row>
    <row r="3" spans="1:13" ht="15.75" customHeight="1" x14ac:dyDescent="0.4">
      <c r="A3" s="7" t="s">
        <v>183</v>
      </c>
      <c r="B3" s="1"/>
      <c r="C3" s="1"/>
      <c r="D3" s="1"/>
      <c r="E3" s="1"/>
      <c r="F3" s="7" t="s">
        <v>184</v>
      </c>
      <c r="G3" s="1"/>
      <c r="H3" s="1"/>
      <c r="I3" s="1"/>
      <c r="J3" s="7" t="s">
        <v>185</v>
      </c>
      <c r="K3" s="1"/>
      <c r="L3" s="1"/>
      <c r="M3" s="1"/>
    </row>
    <row r="4" spans="1:13" ht="29.25" customHeight="1" x14ac:dyDescent="0.35">
      <c r="A4" s="3" t="s">
        <v>45</v>
      </c>
      <c r="B4" s="3" t="s">
        <v>44</v>
      </c>
      <c r="C4" s="3" t="s">
        <v>186</v>
      </c>
      <c r="D4" s="3" t="s">
        <v>187</v>
      </c>
      <c r="E4" s="2"/>
      <c r="F4" s="3" t="s">
        <v>48</v>
      </c>
      <c r="G4" s="3" t="s">
        <v>47</v>
      </c>
      <c r="H4" s="3" t="s">
        <v>188</v>
      </c>
      <c r="I4" s="2"/>
      <c r="J4" s="3" t="s">
        <v>47</v>
      </c>
      <c r="K4" s="3" t="s">
        <v>189</v>
      </c>
      <c r="L4" s="1"/>
      <c r="M4" s="1"/>
    </row>
    <row r="5" spans="1:13" x14ac:dyDescent="0.35">
      <c r="A5" s="32" t="s">
        <v>65</v>
      </c>
      <c r="B5" s="32" t="s">
        <v>64</v>
      </c>
      <c r="C5" s="32" t="s">
        <v>190</v>
      </c>
      <c r="D5" s="32" t="s">
        <v>191</v>
      </c>
      <c r="E5" s="2"/>
      <c r="F5" s="32" t="s">
        <v>68</v>
      </c>
      <c r="G5" s="32" t="s">
        <v>67</v>
      </c>
      <c r="H5" s="32" t="s">
        <v>192</v>
      </c>
      <c r="I5" s="2"/>
      <c r="J5" s="32" t="s">
        <v>67</v>
      </c>
      <c r="K5" s="32" t="s">
        <v>193</v>
      </c>
      <c r="L5" s="1"/>
      <c r="M5" s="1"/>
    </row>
    <row r="6" spans="1:13" x14ac:dyDescent="0.35">
      <c r="A6" s="33" t="s">
        <v>100</v>
      </c>
      <c r="B6" s="33" t="s">
        <v>64</v>
      </c>
      <c r="C6" s="33" t="s">
        <v>194</v>
      </c>
      <c r="D6" s="33" t="s">
        <v>195</v>
      </c>
      <c r="E6" s="2"/>
      <c r="F6" s="33" t="s">
        <v>73</v>
      </c>
      <c r="G6" s="33" t="s">
        <v>67</v>
      </c>
      <c r="H6" s="33" t="s">
        <v>192</v>
      </c>
      <c r="I6" s="2"/>
      <c r="J6" s="33" t="s">
        <v>79</v>
      </c>
      <c r="K6" s="33" t="s">
        <v>196</v>
      </c>
      <c r="L6" s="1"/>
      <c r="M6" s="1"/>
    </row>
    <row r="7" spans="1:13" x14ac:dyDescent="0.35">
      <c r="A7" s="33" t="s">
        <v>99</v>
      </c>
      <c r="B7" s="33" t="s">
        <v>64</v>
      </c>
      <c r="C7" s="33" t="s">
        <v>197</v>
      </c>
      <c r="D7" s="33" t="s">
        <v>198</v>
      </c>
      <c r="E7" s="2"/>
      <c r="F7" s="33" t="s">
        <v>74</v>
      </c>
      <c r="G7" s="33" t="s">
        <v>67</v>
      </c>
      <c r="H7" s="33" t="s">
        <v>192</v>
      </c>
      <c r="I7" s="2"/>
      <c r="J7" s="33" t="s">
        <v>81</v>
      </c>
      <c r="K7" s="33" t="s">
        <v>199</v>
      </c>
      <c r="L7" s="1"/>
      <c r="M7" s="1"/>
    </row>
    <row r="8" spans="1:13" x14ac:dyDescent="0.35">
      <c r="A8" s="33" t="s">
        <v>94</v>
      </c>
      <c r="B8" s="33" t="s">
        <v>93</v>
      </c>
      <c r="C8" s="33" t="s">
        <v>200</v>
      </c>
      <c r="D8" s="33" t="s">
        <v>201</v>
      </c>
      <c r="E8" s="2"/>
      <c r="F8" s="33" t="s">
        <v>75</v>
      </c>
      <c r="G8" s="33" t="s">
        <v>67</v>
      </c>
      <c r="H8" s="33" t="s">
        <v>192</v>
      </c>
      <c r="I8" s="2"/>
      <c r="J8" s="33" t="s">
        <v>83</v>
      </c>
      <c r="K8" s="33" t="s">
        <v>202</v>
      </c>
      <c r="L8" s="1"/>
      <c r="M8" s="1"/>
    </row>
    <row r="9" spans="1:13" x14ac:dyDescent="0.35">
      <c r="A9" s="33" t="s">
        <v>97</v>
      </c>
      <c r="B9" s="33" t="s">
        <v>93</v>
      </c>
      <c r="C9" s="33" t="s">
        <v>203</v>
      </c>
      <c r="D9" s="33" t="s">
        <v>204</v>
      </c>
      <c r="E9" s="2"/>
      <c r="F9" s="33" t="s">
        <v>76</v>
      </c>
      <c r="G9" s="33" t="s">
        <v>67</v>
      </c>
      <c r="H9" s="33" t="s">
        <v>192</v>
      </c>
      <c r="I9" s="2"/>
      <c r="J9" s="33" t="s">
        <v>85</v>
      </c>
      <c r="K9" s="33" t="s">
        <v>205</v>
      </c>
      <c r="L9" s="1"/>
      <c r="M9" s="1"/>
    </row>
    <row r="10" spans="1:13" x14ac:dyDescent="0.35">
      <c r="A10" s="33" t="s">
        <v>98</v>
      </c>
      <c r="B10" s="33" t="s">
        <v>93</v>
      </c>
      <c r="C10" s="33" t="s">
        <v>206</v>
      </c>
      <c r="D10" s="33" t="s">
        <v>207</v>
      </c>
      <c r="E10" s="2"/>
      <c r="F10" s="33" t="s">
        <v>77</v>
      </c>
      <c r="G10" s="33" t="s">
        <v>67</v>
      </c>
      <c r="H10" s="33" t="s">
        <v>192</v>
      </c>
      <c r="I10" s="2"/>
      <c r="J10" s="33" t="s">
        <v>87</v>
      </c>
      <c r="K10" s="33" t="s">
        <v>208</v>
      </c>
      <c r="L10" s="1"/>
      <c r="M10" s="1"/>
    </row>
    <row r="11" spans="1:13" x14ac:dyDescent="0.35">
      <c r="A11" s="33" t="s">
        <v>96</v>
      </c>
      <c r="B11" s="33" t="s">
        <v>93</v>
      </c>
      <c r="C11" s="33" t="s">
        <v>209</v>
      </c>
      <c r="D11" s="33" t="s">
        <v>210</v>
      </c>
      <c r="E11" s="2"/>
      <c r="F11" s="33" t="s">
        <v>78</v>
      </c>
      <c r="G11" s="33" t="s">
        <v>67</v>
      </c>
      <c r="H11" s="33" t="s">
        <v>192</v>
      </c>
      <c r="I11" s="2"/>
      <c r="J11" s="2"/>
      <c r="K11" s="2"/>
      <c r="L11" s="1"/>
      <c r="M11" s="1"/>
    </row>
    <row r="12" spans="1:13" x14ac:dyDescent="0.35">
      <c r="A12" s="2"/>
      <c r="B12" s="2"/>
      <c r="C12" s="2"/>
      <c r="D12" s="2"/>
      <c r="E12" s="2"/>
      <c r="F12" s="33" t="s">
        <v>95</v>
      </c>
      <c r="G12" s="33" t="s">
        <v>79</v>
      </c>
      <c r="H12" s="33" t="s">
        <v>211</v>
      </c>
      <c r="I12" s="2"/>
      <c r="J12" s="2"/>
      <c r="K12" s="2"/>
      <c r="L12" s="1"/>
      <c r="M12" s="1"/>
    </row>
    <row r="13" spans="1:13" x14ac:dyDescent="0.35">
      <c r="A13" s="2"/>
      <c r="B13" s="2"/>
      <c r="C13" s="2"/>
      <c r="D13" s="2"/>
      <c r="E13" s="2"/>
      <c r="F13" s="33" t="s">
        <v>80</v>
      </c>
      <c r="G13" s="33" t="s">
        <v>79</v>
      </c>
      <c r="H13" s="33" t="s">
        <v>211</v>
      </c>
      <c r="I13" s="2"/>
      <c r="J13" s="2"/>
      <c r="K13" s="2"/>
      <c r="L13" s="1"/>
      <c r="M13" s="1"/>
    </row>
    <row r="14" spans="1:13" x14ac:dyDescent="0.35">
      <c r="A14" s="2"/>
      <c r="B14" s="2"/>
      <c r="C14" s="2"/>
      <c r="D14" s="2"/>
      <c r="E14" s="2"/>
      <c r="F14" s="33" t="s">
        <v>82</v>
      </c>
      <c r="G14" s="33" t="s">
        <v>81</v>
      </c>
      <c r="H14" s="33" t="s">
        <v>211</v>
      </c>
      <c r="I14" s="2"/>
      <c r="J14" s="2"/>
      <c r="K14" s="2"/>
      <c r="L14" s="1"/>
      <c r="M14" s="1"/>
    </row>
    <row r="15" spans="1:13" x14ac:dyDescent="0.35">
      <c r="A15" s="2"/>
      <c r="B15" s="2"/>
      <c r="C15" s="2"/>
      <c r="D15" s="2"/>
      <c r="E15" s="2"/>
      <c r="F15" s="33" t="s">
        <v>84</v>
      </c>
      <c r="G15" s="33" t="s">
        <v>83</v>
      </c>
      <c r="H15" s="33" t="s">
        <v>192</v>
      </c>
      <c r="I15" s="2"/>
      <c r="J15" s="2"/>
      <c r="K15" s="2"/>
      <c r="L15" s="1"/>
      <c r="M15" s="1"/>
    </row>
    <row r="16" spans="1:13" x14ac:dyDescent="0.35">
      <c r="A16" s="2"/>
      <c r="B16" s="2"/>
      <c r="C16" s="2"/>
      <c r="D16" s="2"/>
      <c r="E16" s="2"/>
      <c r="F16" s="33" t="s">
        <v>86</v>
      </c>
      <c r="G16" s="33" t="s">
        <v>85</v>
      </c>
      <c r="H16" s="33" t="s">
        <v>192</v>
      </c>
      <c r="I16" s="2"/>
      <c r="J16" s="2"/>
      <c r="K16" s="2"/>
      <c r="L16" s="1"/>
      <c r="M16" s="1"/>
    </row>
    <row r="17" spans="1:13" x14ac:dyDescent="0.35">
      <c r="A17" s="2"/>
      <c r="B17" s="2"/>
      <c r="C17" s="2"/>
      <c r="D17" s="2"/>
      <c r="E17" s="2"/>
      <c r="F17" s="33" t="s">
        <v>88</v>
      </c>
      <c r="G17" s="33" t="s">
        <v>87</v>
      </c>
      <c r="H17" s="33" t="s">
        <v>211</v>
      </c>
      <c r="I17" s="2"/>
      <c r="J17" s="2"/>
      <c r="K17" s="2"/>
      <c r="L17" s="1"/>
      <c r="M17" s="1"/>
    </row>
    <row r="18" spans="1:13" x14ac:dyDescent="0.35">
      <c r="A18" s="2"/>
      <c r="B18" s="2"/>
      <c r="C18" s="2"/>
      <c r="D18" s="2"/>
      <c r="E18" s="2"/>
      <c r="F18" s="2"/>
      <c r="G18" s="2"/>
      <c r="H18" s="2"/>
      <c r="I18" s="2"/>
      <c r="J18" s="2"/>
      <c r="K18" s="2"/>
      <c r="L18" s="1"/>
      <c r="M18" s="1"/>
    </row>
    <row r="19" spans="1:13" x14ac:dyDescent="0.35">
      <c r="A19" s="2"/>
      <c r="B19" s="2"/>
      <c r="C19" s="2"/>
      <c r="D19" s="2"/>
      <c r="E19" s="2"/>
      <c r="F19" s="2"/>
      <c r="G19" s="2"/>
      <c r="H19" s="2"/>
      <c r="I19" s="2"/>
      <c r="J19" s="2"/>
      <c r="K19" s="2"/>
      <c r="L19" s="1"/>
      <c r="M19" s="1"/>
    </row>
    <row r="20" spans="1:13" ht="15.75" customHeight="1" x14ac:dyDescent="0.4">
      <c r="A20" s="7" t="s">
        <v>212</v>
      </c>
      <c r="B20" s="2"/>
      <c r="C20" s="2"/>
      <c r="D20" s="2"/>
      <c r="E20" s="2"/>
      <c r="F20" s="7" t="s">
        <v>213</v>
      </c>
      <c r="G20" s="2"/>
      <c r="H20" s="2"/>
      <c r="I20" s="2"/>
      <c r="J20" s="2"/>
      <c r="K20" s="2"/>
      <c r="L20" s="1"/>
      <c r="M20" s="1"/>
    </row>
    <row r="21" spans="1:13" x14ac:dyDescent="0.35">
      <c r="A21" s="3" t="s">
        <v>49</v>
      </c>
      <c r="B21" s="3" t="s">
        <v>189</v>
      </c>
      <c r="C21" s="3" t="s">
        <v>214</v>
      </c>
      <c r="D21" s="2"/>
      <c r="E21" s="2"/>
      <c r="F21" s="3" t="s">
        <v>46</v>
      </c>
      <c r="G21" s="3" t="s">
        <v>189</v>
      </c>
      <c r="H21" s="2"/>
      <c r="I21" s="2"/>
      <c r="J21" s="2"/>
      <c r="K21" s="2"/>
      <c r="L21" s="1"/>
      <c r="M21" s="1"/>
    </row>
    <row r="22" spans="1:13" x14ac:dyDescent="0.35">
      <c r="A22" s="32" t="s">
        <v>69</v>
      </c>
      <c r="B22" s="34" t="s">
        <v>215</v>
      </c>
      <c r="C22" s="32" t="s">
        <v>216</v>
      </c>
      <c r="D22" s="2"/>
      <c r="E22" s="2"/>
      <c r="F22" s="32" t="s">
        <v>66</v>
      </c>
      <c r="G22" s="34" t="s">
        <v>217</v>
      </c>
      <c r="H22" s="2"/>
      <c r="I22" s="2"/>
      <c r="J22" s="2"/>
      <c r="K22" s="2"/>
      <c r="L22" s="1"/>
      <c r="M22" s="1"/>
    </row>
    <row r="23" spans="1:13" ht="29.25" customHeight="1" x14ac:dyDescent="0.35">
      <c r="A23" s="33" t="s">
        <v>70</v>
      </c>
      <c r="B23" s="35" t="s">
        <v>218</v>
      </c>
      <c r="C23" s="33" t="s">
        <v>216</v>
      </c>
      <c r="D23" s="2"/>
      <c r="E23" s="2"/>
      <c r="F23" s="33" t="s">
        <v>89</v>
      </c>
      <c r="G23" s="35" t="s">
        <v>219</v>
      </c>
      <c r="H23" s="2"/>
      <c r="I23" s="2"/>
      <c r="J23" s="2"/>
      <c r="K23" s="2"/>
      <c r="L23" s="1"/>
      <c r="M23" s="1"/>
    </row>
    <row r="24" spans="1:13" ht="29.25" customHeight="1" x14ac:dyDescent="0.35">
      <c r="A24" s="33" t="s">
        <v>71</v>
      </c>
      <c r="B24" s="35" t="s">
        <v>220</v>
      </c>
      <c r="C24" s="33" t="s">
        <v>221</v>
      </c>
      <c r="D24" s="2"/>
      <c r="E24" s="2"/>
      <c r="F24" s="33" t="s">
        <v>90</v>
      </c>
      <c r="G24" s="35" t="s">
        <v>222</v>
      </c>
      <c r="H24" s="2"/>
      <c r="I24" s="2"/>
      <c r="J24" s="2"/>
      <c r="K24" s="2"/>
      <c r="L24" s="1"/>
      <c r="M24" s="1"/>
    </row>
    <row r="25" spans="1:13" ht="29.25" customHeight="1" x14ac:dyDescent="0.35">
      <c r="A25" s="33" t="s">
        <v>72</v>
      </c>
      <c r="B25" s="35" t="s">
        <v>223</v>
      </c>
      <c r="C25" s="33" t="s">
        <v>221</v>
      </c>
      <c r="D25" s="2"/>
      <c r="E25" s="2"/>
      <c r="F25" s="33" t="s">
        <v>91</v>
      </c>
      <c r="G25" s="35" t="s">
        <v>224</v>
      </c>
      <c r="H25" s="2"/>
      <c r="I25" s="2"/>
      <c r="J25" s="2"/>
      <c r="K25" s="2"/>
      <c r="L25" s="1"/>
      <c r="M25" s="1"/>
    </row>
    <row r="26" spans="1:13" ht="29.25" customHeight="1" x14ac:dyDescent="0.35">
      <c r="A26" s="2"/>
      <c r="B26" s="2"/>
      <c r="C26" s="2"/>
      <c r="D26" s="2"/>
      <c r="E26" s="2"/>
      <c r="F26" s="33" t="s">
        <v>92</v>
      </c>
      <c r="G26" s="35" t="s">
        <v>225</v>
      </c>
      <c r="H26" s="2"/>
      <c r="I26" s="2"/>
      <c r="J26" s="2"/>
      <c r="K26" s="2"/>
      <c r="L26" s="1"/>
      <c r="M26" s="1"/>
    </row>
  </sheetData>
  <mergeCells count="2">
    <mergeCell ref="A2:M2"/>
    <mergeCell ref="A1:M1"/>
  </mergeCells>
  <pageMargins left="0.7" right="0.7" top="0.75" bottom="0.75" header="0.3" footer="0.3"/>
  <tableParts count="5">
    <tablePart r:id="rId1"/>
    <tablePart r:id="rId2"/>
    <tablePart r:id="rId3"/>
    <tablePart r:id="rId4"/>
    <tablePart r:id="rId5"/>
  </tableParts>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Sales_Data</vt:lpstr>
      <vt:lpstr>Outlet_Data</vt:lpstr>
      <vt:lpstr>Data_Dictionary</vt:lpstr>
      <vt:lpstr>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 Sonola</cp:lastModifiedBy>
  <dcterms:created xsi:type="dcterms:W3CDTF">2026-10-07T13:59:02Z</dcterms:created>
  <dcterms:modified xsi:type="dcterms:W3CDTF">2026-10-08T17:40:21Z</dcterms:modified>
</cp:coreProperties>
</file>